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348" yWindow="3348" windowWidth="17280" windowHeight="8880" tabRatio="600" firstSheet="0" activeTab="1" autoFilterDateGrouping="1"/>
  </bookViews>
  <sheets>
    <sheet xmlns:r="http://schemas.openxmlformats.org/officeDocument/2006/relationships" name="WEB RESEARCH NOTES" sheetId="1" state="visible" r:id="rId1"/>
    <sheet xmlns:r="http://schemas.openxmlformats.org/officeDocument/2006/relationships" name="EXPLORER ROBOT" sheetId="2" state="visible" r:id="rId2"/>
    <sheet xmlns:r="http://schemas.openxmlformats.org/officeDocument/2006/relationships" name="QUADROPAD" sheetId="3" state="visible" r:id="rId3"/>
    <sheet xmlns:r="http://schemas.openxmlformats.org/officeDocument/2006/relationships" name="GESTURE GOLVE" sheetId="4" state="visible" r:id="rId4"/>
    <sheet xmlns:r="http://schemas.openxmlformats.org/officeDocument/2006/relationships" name="4+4+2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\₹#,##0"/>
    <numFmt numFmtId="165" formatCode="&quot;₹&quot;\ #,##0.00"/>
  </numFmts>
  <fonts count="10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9.5"/>
    </font>
    <font>
      <name val="Arial"/>
      <charset val="1"/>
      <sz val="9.5"/>
    </font>
    <font>
      <name val="Arial"/>
      <charset val="1"/>
      <b val="1"/>
      <sz val="9.5"/>
    </font>
    <font>
      <name val="Arial"/>
      <charset val="1"/>
      <b val="1"/>
      <color rgb="FFFFFFFF"/>
      <sz val="12"/>
    </font>
    <font>
      <name val="Aptos Narrow"/>
      <family val="2"/>
      <b val="1"/>
      <color theme="1"/>
      <sz val="20"/>
      <scheme val="minor"/>
    </font>
    <font>
      <name val="Arial"/>
      <family val="2"/>
      <sz val="9.5"/>
    </font>
    <font>
      <b val="1"/>
    </font>
    <font>
      <name val="Calibri"/>
      <family val="2"/>
      <color theme="10"/>
      <sz val="12"/>
      <scheme val="minor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D9E2F3"/>
        <bgColor rgb="FFE2F0D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right" vertical="center"/>
    </xf>
    <xf numFmtId="164" fontId="5" fillId="4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3" borderId="4" pivotButton="0" quotePrefix="0" xfId="0"/>
    <xf numFmtId="165" fontId="3" fillId="3" borderId="4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165" fontId="2" fillId="0" borderId="6" applyAlignment="1" pivotButton="0" quotePrefix="0" xfId="0">
      <alignment horizontal="right" vertical="center"/>
    </xf>
    <xf numFmtId="0" fontId="2" fillId="5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left" vertical="center" wrapText="1"/>
    </xf>
    <xf numFmtId="165" fontId="2" fillId="5" borderId="6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 wrapText="1"/>
    </xf>
    <xf numFmtId="0" fontId="2" fillId="6" borderId="6" applyAlignment="1" pivotButton="0" quotePrefix="0" xfId="0">
      <alignment horizontal="center" vertical="center"/>
    </xf>
    <xf numFmtId="0" fontId="2" fillId="6" borderId="6" applyAlignment="1" pivotButton="0" quotePrefix="0" xfId="0">
      <alignment horizontal="left" vertical="center" wrapText="1"/>
    </xf>
    <xf numFmtId="165" fontId="2" fillId="6" borderId="6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right" vertical="center"/>
    </xf>
    <xf numFmtId="0" fontId="4" fillId="2" borderId="3" applyAlignment="1" pivotButton="0" quotePrefix="0" xfId="0">
      <alignment horizontal="center" vertical="center"/>
    </xf>
    <xf numFmtId="0" fontId="3" fillId="3" borderId="7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pivotButton="0" quotePrefix="0" xfId="0"/>
    <xf numFmtId="0" fontId="7" fillId="7" borderId="0" pivotButton="0" quotePrefix="0" xfId="0"/>
    <xf numFmtId="0" fontId="8" fillId="0" borderId="0" pivotButton="0" quotePrefix="0" xfId="1"/>
    <xf numFmtId="0" fontId="0" fillId="0" borderId="9" pivotButton="0" quotePrefix="0" xfId="0"/>
    <xf numFmtId="0" fontId="0" fillId="0" borderId="12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quartzcomponents.com/collections/esp-boards" TargetMode="External" Id="rId1"/><Relationship Type="http://schemas.openxmlformats.org/officeDocument/2006/relationships/hyperlink" Target="https://quartzcomponents.com/products/l298n-2a-based-motor-driver-module" TargetMode="External" Id="rId2"/><Relationship Type="http://schemas.openxmlformats.org/officeDocument/2006/relationships/hyperlink" Target="https://quartzcomponents.com/collections/all/robotics" TargetMode="External" Id="rId3"/><Relationship Type="http://schemas.openxmlformats.org/officeDocument/2006/relationships/hyperlink" Target="https://quartzcomponents.com/collections/robotics" TargetMode="External" Id="rId4"/><Relationship Type="http://schemas.openxmlformats.org/officeDocument/2006/relationships/hyperlink" Target="https://quartzcomponents.com/products/18650-li-ion-2500mah-rechargeable-battery" TargetMode="External" Id="rId5"/><Relationship Type="http://schemas.openxmlformats.org/officeDocument/2006/relationships/hyperlink" Target="https://quartzcomponents.com/collections/battery-holders" TargetMode="External" Id="rId6"/><Relationship Type="http://schemas.openxmlformats.org/officeDocument/2006/relationships/hyperlink" Target="https://quartzcomponents.com/products/xt60" TargetMode="External" Id="rId7"/><Relationship Type="http://schemas.openxmlformats.org/officeDocument/2006/relationships/hyperlink" Target="https://quartzcomponents.com/collections/bms-1" TargetMode="External" Id="rId8"/><Relationship Type="http://schemas.openxmlformats.org/officeDocument/2006/relationships/hyperlink" Target="https://quartzcomponents.com/products/mb102-colored-breadboard-830-points-with-jumper-wires-male-to-male-and-male-to-female-set-of-80" TargetMode="External" Id="rId9"/><Relationship Type="http://schemas.openxmlformats.org/officeDocument/2006/relationships/hyperlink" Target="https://quartzcomponents.com/collections/switches-connectors" TargetMode="External" Id="rId10"/><Relationship Type="http://schemas.openxmlformats.org/officeDocument/2006/relationships/hyperlink" Target="https://quartzcomponents.com/products/mb102-colored-breadboard-830-points-with-jumper-wires-male-to-male-and-male-to-female-set-of-80" TargetMode="External" Id="rId11"/><Relationship Type="http://schemas.openxmlformats.org/officeDocument/2006/relationships/hyperlink" Target="https://quartzcomponents.com/collections/ir-sensor" TargetMode="External" Id="rId12"/><Relationship Type="http://schemas.openxmlformats.org/officeDocument/2006/relationships/hyperlink" Target="https://quartzcomponents.com/products/hc-sr04-ultrasonic-sensor-module" TargetMode="External" Id="rId13"/><Relationship Type="http://schemas.openxmlformats.org/officeDocument/2006/relationships/hyperlink" Target="https://quartzcomponents.com/products/ir-lm393-photoelectric-sensor-module" TargetMode="External" Id="rId14"/><Relationship Type="http://schemas.openxmlformats.org/officeDocument/2006/relationships/hyperlink" Target="https://quartzcomponents.com/products/ldr-light-dependent-resistor-5mm" TargetMode="External" Id="rId15"/><Relationship Type="http://schemas.openxmlformats.org/officeDocument/2006/relationships/hyperlink" Target="https://quartzcomponents.com/products/green-5mm-led" TargetMode="External" Id="rId16"/><Relationship Type="http://schemas.openxmlformats.org/officeDocument/2006/relationships/hyperlink" Target="https://quartzcomponents.com/collections/components" TargetMode="External" Id="rId17"/><Relationship Type="http://schemas.openxmlformats.org/officeDocument/2006/relationships/hyperlink" Target="https://quartzcomponents.com/collections/popular-products/products/active-buzzer-module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quartzcomponents.com/products/16-channel-12-bit-pwm-servo-driver-i2c-interface-pca9685-for-arduino-raspberry-pi" TargetMode="External" Id="rId1"/><Relationship Type="http://schemas.openxmlformats.org/officeDocument/2006/relationships/hyperlink" Target="https://quartzcomponents.com/collections/servo-motor" TargetMode="External" Id="rId2"/><Relationship Type="http://schemas.openxmlformats.org/officeDocument/2006/relationships/hyperlink" Target="https://quartzcomponents.com/products/oled-display-0-96-inch-i2c-interface-4-pin-blue-ssd1306" TargetMode="External" Id="rId3"/><Relationship Type="http://schemas.openxmlformats.org/officeDocument/2006/relationships/hyperlink" Target="https://quartzcomponents.com/products/gy-53-vl53l0x-laser-tof-flight-time-range-sensor" TargetMode="External" Id="rId4"/><Relationship Type="http://schemas.openxmlformats.org/officeDocument/2006/relationships/hyperlink" Target="https://quartzcomponents.com/products/ultra-small-size-dc-dc-5v-3a-bec-power-supply-buck-step-down-module" TargetMode="External" Id="rId5"/><Relationship Type="http://schemas.openxmlformats.org/officeDocument/2006/relationships/hyperlink" Target="https://quartzcomponents.com/products/18650-li-ion-2500mah-rechargeable-battery" TargetMode="External" Id="rId6"/><Relationship Type="http://schemas.openxmlformats.org/officeDocument/2006/relationships/hyperlink" Target="https://quartzcomponents.com/collections/battery-holders" TargetMode="External" Id="rId7"/><Relationship Type="http://schemas.openxmlformats.org/officeDocument/2006/relationships/hyperlink" Target="https://quartzcomponents.com/collections/switches-connectors" TargetMode="External" Id="rId8"/><Relationship Type="http://schemas.openxmlformats.org/officeDocument/2006/relationships/hyperlink" Target="https://quartzcomponents.com/collections/esp-boards" TargetMode="External" Id="rId9"/><Relationship Type="http://schemas.openxmlformats.org/officeDocument/2006/relationships/hyperlink" Target="https://quartzcomponents.com/products/xt60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quartzcomponents.com/collections/esp-boards" TargetMode="External" Id="rId1"/><Relationship Type="http://schemas.openxmlformats.org/officeDocument/2006/relationships/hyperlink" Target="https://quartzcomponents.com/collections/discount-sale" TargetMode="External" Id="rId2"/><Relationship Type="http://schemas.openxmlformats.org/officeDocument/2006/relationships/hyperlink" Target="https://quartzcomponents.com/products/18650-li-ion-2500mah-rechargeable-battery" TargetMode="External" Id="rId3"/><Relationship Type="http://schemas.openxmlformats.org/officeDocument/2006/relationships/hyperlink" Target="https://quartzcomponents.com/collections/battery-holders" TargetMode="External" Id="rId4"/><Relationship Type="http://schemas.openxmlformats.org/officeDocument/2006/relationships/hyperlink" Target="https://quartzcomponents.com/products/xt60" TargetMode="External" Id="rId5"/><Relationship Type="http://schemas.openxmlformats.org/officeDocument/2006/relationships/hyperlink" Target="https://quartzcomponents.com/collections/bms-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quartzcomponents.com/collections/esp-boards" TargetMode="External" Id="rId1"/><Relationship Type="http://schemas.openxmlformats.org/officeDocument/2006/relationships/hyperlink" Target="https://quartzcomponents.com/products/l298n-2a-based-motor-driver-module" TargetMode="External" Id="rId2"/><Relationship Type="http://schemas.openxmlformats.org/officeDocument/2006/relationships/hyperlink" Target="https://quartzcomponents.com/collections/all/robotics" TargetMode="External" Id="rId3"/><Relationship Type="http://schemas.openxmlformats.org/officeDocument/2006/relationships/hyperlink" Target="https://quartzcomponents.com/collections/robotics" TargetMode="External" Id="rId4"/><Relationship Type="http://schemas.openxmlformats.org/officeDocument/2006/relationships/hyperlink" Target="https://quartzcomponents.com/products/18650-li-ion-2500mah-rechargeable-battery" TargetMode="External" Id="rId5"/><Relationship Type="http://schemas.openxmlformats.org/officeDocument/2006/relationships/hyperlink" Target="https://quartzcomponents.com/collections/battery-holders" TargetMode="External" Id="rId6"/><Relationship Type="http://schemas.openxmlformats.org/officeDocument/2006/relationships/hyperlink" Target="https://quartzcomponents.com/collections/battery-holders" TargetMode="External" Id="rId7"/><Relationship Type="http://schemas.openxmlformats.org/officeDocument/2006/relationships/hyperlink" Target="https://quartzcomponents.com/collections/bms-1" TargetMode="External" Id="rId8"/><Relationship Type="http://schemas.openxmlformats.org/officeDocument/2006/relationships/hyperlink" Target="https://quartzcomponents.com/products/xt60" TargetMode="External" Id="rId9"/><Relationship Type="http://schemas.openxmlformats.org/officeDocument/2006/relationships/hyperlink" Target="https://quartzcomponents.com/collections/switches-connectors" TargetMode="External" Id="rId10"/><Relationship Type="http://schemas.openxmlformats.org/officeDocument/2006/relationships/hyperlink" Target="https://quartzcomponents.com/products/mb102-colored-breadboard-830-points-with-jumper-wires-male-to-male-and-male-to-female-set-of-80" TargetMode="External" Id="rId11"/><Relationship Type="http://schemas.openxmlformats.org/officeDocument/2006/relationships/hyperlink" Target="https://quartzcomponents.com/products/mb102-colored-breadboard-830-points-with-jumper-wires-male-to-male-and-male-to-female-set-of-80" TargetMode="External" Id="rId12"/><Relationship Type="http://schemas.openxmlformats.org/officeDocument/2006/relationships/hyperlink" Target="https://quartzcomponents.com/products/mb102-colored-breadboard-830-points-with-jumper-wires-male-to-male-and-male-to-female-set-of-80" TargetMode="External" Id="rId13"/><Relationship Type="http://schemas.openxmlformats.org/officeDocument/2006/relationships/hyperlink" Target="https://quartzcomponents.com/collections/switches-connectors" TargetMode="External" Id="rId14"/><Relationship Type="http://schemas.openxmlformats.org/officeDocument/2006/relationships/hyperlink" Target="https://quartzcomponents.com/collections/switches-connectors" TargetMode="External" Id="rId15"/><Relationship Type="http://schemas.openxmlformats.org/officeDocument/2006/relationships/hyperlink" Target="https://quartzcomponents.com/collections/breadboard" TargetMode="External" Id="rId16"/><Relationship Type="http://schemas.openxmlformats.org/officeDocument/2006/relationships/hyperlink" Target="https://quartzcomponents.com/collections/breadboard" TargetMode="External" Id="rId17"/><Relationship Type="http://schemas.openxmlformats.org/officeDocument/2006/relationships/hyperlink" Target="https://quartzcomponents.com/collections/ir-sensor" TargetMode="External" Id="rId18"/><Relationship Type="http://schemas.openxmlformats.org/officeDocument/2006/relationships/hyperlink" Target="https://quartzcomponents.com/products/hc-sr04-ultrasonic-sensor-module" TargetMode="External" Id="rId19"/><Relationship Type="http://schemas.openxmlformats.org/officeDocument/2006/relationships/hyperlink" Target="https://quartzcomponents.com/products/ir-lm393-photoelectric-sensor-module" TargetMode="External" Id="rId20"/><Relationship Type="http://schemas.openxmlformats.org/officeDocument/2006/relationships/hyperlink" Target="https://quartzcomponents.com/products/ldr-light-dependent-resistor-5mm" TargetMode="External" Id="rId21"/><Relationship Type="http://schemas.openxmlformats.org/officeDocument/2006/relationships/hyperlink" Target="https://quartzcomponents.com/collections/components" TargetMode="External" Id="rId22"/><Relationship Type="http://schemas.openxmlformats.org/officeDocument/2006/relationships/hyperlink" Target="https://quartzcomponents.com/products/green-5mm-led" TargetMode="External" Id="rId23"/><Relationship Type="http://schemas.openxmlformats.org/officeDocument/2006/relationships/hyperlink" Target="https://quartzcomponents.com/collections/components" TargetMode="External" Id="rId24"/><Relationship Type="http://schemas.openxmlformats.org/officeDocument/2006/relationships/hyperlink" Target="https://quartzcomponents.com/products/220-ohm-1-4-watt-resistor-with-1-tolerance-pack-of-10" TargetMode="External" Id="rId25"/><Relationship Type="http://schemas.openxmlformats.org/officeDocument/2006/relationships/hyperlink" Target="https://quartzcomponents.com/products/1k-ohm-1-4-watt-resistor" TargetMode="External" Id="rId26"/><Relationship Type="http://schemas.openxmlformats.org/officeDocument/2006/relationships/hyperlink" Target="https://quartzcomponents.com/collections/passives-resistors" TargetMode="External" Id="rId27"/><Relationship Type="http://schemas.openxmlformats.org/officeDocument/2006/relationships/hyperlink" Target="https://quartzcomponents.com/products/10k-ohm-1-4-watt-resistor" TargetMode="External" Id="rId28"/><Relationship Type="http://schemas.openxmlformats.org/officeDocument/2006/relationships/hyperlink" Target="https://quartzcomponents.com/collections/popular-products/products/active-buzzer-module" TargetMode="External" Id="rId29"/><Relationship Type="http://schemas.openxmlformats.org/officeDocument/2006/relationships/hyperlink" Target="https://quartzcomponents.com/products/16-channel-12-bit-pwm-servo-driver-i2c-interface-pca9685-for-arduino-raspberry-pi" TargetMode="External" Id="rId30"/><Relationship Type="http://schemas.openxmlformats.org/officeDocument/2006/relationships/hyperlink" Target="https://quartzcomponents.com/collections/servo-motor" TargetMode="External" Id="rId31"/><Relationship Type="http://schemas.openxmlformats.org/officeDocument/2006/relationships/hyperlink" Target="https://quartzcomponents.com/products/oled-display-0-96-inch-i2c-interface-4-pin-blue-ssd1306" TargetMode="External" Id="rId32"/><Relationship Type="http://schemas.openxmlformats.org/officeDocument/2006/relationships/hyperlink" Target="https://quartzcomponents.com/products/gy-53-vl53l0x-laser-tof-flight-time-range-sensor" TargetMode="External" Id="rId33"/><Relationship Type="http://schemas.openxmlformats.org/officeDocument/2006/relationships/hyperlink" Target="https://quartzcomponents.com/products/ultra-small-size-dc-dc-5v-3a-bec-power-supply-buck-step-down-module" TargetMode="External" Id="rId34"/><Relationship Type="http://schemas.openxmlformats.org/officeDocument/2006/relationships/hyperlink" Target="https://quartzcomponents.com/collections/discount-sale" TargetMode="External" Id="rId35"/><Relationship Type="http://schemas.openxmlformats.org/officeDocument/2006/relationships/hyperlink" Target="https://quartzcomponents.com/products/5x7cm-single-side-copper-plate-perf-board-for-pcb-prototype" TargetMode="External" Id="rId36"/><Relationship Type="http://schemas.openxmlformats.org/officeDocument/2006/relationships/hyperlink" Target="https://quartzcomponents.com/products/heat-shrink-tube-3mm-diameter-black-1-meter" TargetMode="External" Id="rId37"/><Relationship Type="http://schemas.openxmlformats.org/officeDocument/2006/relationships/hyperlink" Target="https://quartzcomponents.com/collections/latest-products" TargetMode="External" Id="rId38"/><Relationship Type="http://schemas.openxmlformats.org/officeDocument/2006/relationships/hyperlink" Target="https://quartzcomponents.com/collections/batteries-power-supplies-and-accessories-1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6" t="inlineStr">
        <is>
          <t>Internet Research — Explorer / QUADROPAD / Gesture Glove</t>
        </is>
      </c>
    </row>
    <row r="3">
      <c r="A3" t="inlineStr">
        <is>
          <t>Basis</t>
        </is>
      </c>
      <c r="B3" t="inlineStr">
        <is>
          <t>Uploaded workbook; quantities and original sheet prices are preserved.</t>
        </is>
      </c>
    </row>
    <row r="4">
      <c r="A4" t="inlineStr">
        <is>
          <t>Web source</t>
        </is>
      </c>
      <c r="B4" t="inlineStr">
        <is>
          <t>Primarily QuartzComponents, matching the vendor in the uploaded sheet. Other sources are used only where an exact shopping result was found.</t>
        </is>
      </c>
    </row>
    <row r="5">
      <c r="A5" t="inlineStr">
        <is>
          <t>Price rule</t>
        </is>
      </c>
      <c r="B5" t="inlineStr">
        <is>
          <t>Web Price is the currently observed price from the cited web result. A blank means an exact current price was not verified.</t>
        </is>
      </c>
    </row>
    <row r="6">
      <c r="A6" t="inlineStr">
        <is>
          <t>Important</t>
        </is>
      </c>
      <c r="B6" t="inlineStr">
        <is>
          <t>Do not treat unverified sheet prices as current internet prices.</t>
        </is>
      </c>
    </row>
    <row r="8">
      <c r="A8" t="inlineStr">
        <is>
          <t>Battery safety</t>
        </is>
      </c>
      <c r="B8" s="37" t="inlineStr">
        <is>
          <t>The sheet combines 18650 cells with TP4056 and 2S BMS in places. TP4056 is a 1-cell charger; a 2S pack requires an appropriate 8.4V CC/CV charging setup and compatible 2S BMS.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zoomScale="85" zoomScaleNormal="85" workbookViewId="0">
      <pane ySplit="2" topLeftCell="A3" activePane="bottomLeft" state="frozen"/>
      <selection pane="bottomLeft" activeCell="B19" sqref="B19"/>
    </sheetView>
  </sheetViews>
  <sheetFormatPr baseColWidth="8" defaultRowHeight="23.4" customHeight="1"/>
  <cols>
    <col width="52" bestFit="1" customWidth="1" min="1" max="1"/>
    <col width="43" customWidth="1" min="2" max="2"/>
    <col width="18" customWidth="1" min="3" max="3"/>
    <col width="13" customWidth="1" min="4" max="4"/>
    <col width="12" customWidth="1" min="5" max="5"/>
    <col width="15" customWidth="1" min="6" max="6"/>
    <col width="18" customWidth="1" min="7" max="7"/>
    <col width="15" customWidth="1" min="8" max="8"/>
    <col width="55" customWidth="1" min="9" max="9"/>
    <col width="55" customWidth="1" min="10" max="10"/>
  </cols>
  <sheetData>
    <row r="1" ht="23.4" customHeight="1">
      <c r="A1" s="30" t="inlineStr">
        <is>
          <t>SECTION 1 — BASE KIT (Common to every robot build)</t>
        </is>
      </c>
      <c r="B1" s="38" t="n"/>
      <c r="C1" s="38" t="n"/>
      <c r="D1" s="38" t="n"/>
      <c r="E1" s="38" t="n"/>
      <c r="F1" s="38" t="n"/>
    </row>
    <row r="2" ht="23.4" customHeight="1">
      <c r="A2" s="1" t="inlineStr">
        <is>
          <t>S.No</t>
        </is>
      </c>
      <c r="B2" s="1" t="inlineStr">
        <is>
          <t>Component Name</t>
        </is>
      </c>
      <c r="C2" s="1" t="inlineStr">
        <is>
          <t>Vendor</t>
        </is>
      </c>
      <c r="D2" s="1" t="inlineStr">
        <is>
          <t>Qty</t>
        </is>
      </c>
      <c r="E2" s="1" t="inlineStr">
        <is>
          <t>Price (₹)</t>
        </is>
      </c>
      <c r="F2" s="1" t="inlineStr">
        <is>
          <t>Amount (₹)</t>
        </is>
      </c>
      <c r="G2" s="39" t="inlineStr">
        <is>
          <t>Internet Vendor</t>
        </is>
      </c>
      <c r="H2" s="39" t="inlineStr">
        <is>
          <t>Web Price (₹)</t>
        </is>
      </c>
      <c r="I2" s="39" t="inlineStr">
        <is>
          <t>Web Status</t>
        </is>
      </c>
      <c r="J2" s="39" t="inlineStr">
        <is>
          <t>Internet Source</t>
        </is>
      </c>
    </row>
    <row r="3" ht="18.45" customHeight="1">
      <c r="A3" s="4" t="n">
        <v>1</v>
      </c>
      <c r="B3" s="5" t="inlineStr">
        <is>
          <t>ESP32 DEV KIT</t>
        </is>
      </c>
      <c r="C3" s="5" t="inlineStr">
        <is>
          <t>QuartzComponents</t>
        </is>
      </c>
      <c r="D3" s="4" t="n">
        <v>1</v>
      </c>
      <c r="E3" s="6" t="n">
        <v>358</v>
      </c>
      <c r="F3" s="6">
        <f>D3*E3</f>
        <v/>
      </c>
      <c r="G3" t="inlineStr">
        <is>
          <t>QuartzComponents</t>
        </is>
      </c>
      <c r="H3" t="n">
        <v>358</v>
      </c>
      <c r="I3" t="inlineStr">
        <is>
          <t>Verified</t>
        </is>
      </c>
      <c r="J3" s="40" t="inlineStr">
        <is>
          <t>https://quartzcomponents.com/collections/esp-boards</t>
        </is>
      </c>
    </row>
    <row r="4" ht="18.45" customHeight="1">
      <c r="A4" s="4" t="n">
        <v>2</v>
      </c>
      <c r="B4" s="5" t="inlineStr">
        <is>
          <t>L298N 2A Motor Driver Module</t>
        </is>
      </c>
      <c r="C4" s="5" t="inlineStr">
        <is>
          <t>QuartzComponents</t>
        </is>
      </c>
      <c r="D4" s="4" t="n">
        <v>1</v>
      </c>
      <c r="E4" s="6" t="n">
        <v>126</v>
      </c>
      <c r="F4" s="6">
        <f>D4*E4</f>
        <v/>
      </c>
      <c r="G4" t="inlineStr">
        <is>
          <t>QuartzComponents</t>
        </is>
      </c>
      <c r="H4" t="n">
        <v>124</v>
      </c>
      <c r="I4" t="inlineStr">
        <is>
          <t>Verified</t>
        </is>
      </c>
      <c r="J4" s="40" t="inlineStr">
        <is>
          <t>https://quartzcomponents.com/products/l298n-2a-based-motor-driver-module</t>
        </is>
      </c>
    </row>
    <row r="5" ht="18.45" customHeight="1">
      <c r="A5" s="4" t="n">
        <v>3</v>
      </c>
      <c r="B5" s="5" t="inlineStr">
        <is>
          <t>200 RPM Dual-Shaft BO Motor</t>
        </is>
      </c>
      <c r="C5" s="5" t="inlineStr">
        <is>
          <t>QuartzComponents</t>
        </is>
      </c>
      <c r="D5" s="4" t="n">
        <v>2</v>
      </c>
      <c r="E5" s="6" t="n">
        <v>50</v>
      </c>
      <c r="F5" s="6">
        <f>D5*E5</f>
        <v/>
      </c>
      <c r="G5" t="inlineStr">
        <is>
          <t>Harish Projects</t>
        </is>
      </c>
      <c r="H5" t="n">
        <v>50</v>
      </c>
      <c r="I5" t="inlineStr">
        <is>
          <t>Verified via shopping result</t>
        </is>
      </c>
    </row>
    <row r="6" ht="18.45" customHeight="1">
      <c r="A6" s="4" t="n">
        <v>4</v>
      </c>
      <c r="B6" s="5" t="inlineStr">
        <is>
          <t>65mm Rubber Wheel for BO Motor</t>
        </is>
      </c>
      <c r="C6" s="5" t="inlineStr">
        <is>
          <t>QuartzComponents</t>
        </is>
      </c>
      <c r="D6" s="4" t="n">
        <v>2</v>
      </c>
      <c r="E6" s="6" t="n">
        <v>38</v>
      </c>
      <c r="F6" s="6">
        <f>D6*E6</f>
        <v/>
      </c>
      <c r="G6" t="inlineStr">
        <is>
          <t>QuartzComponents</t>
        </is>
      </c>
      <c r="H6" t="n">
        <v>38</v>
      </c>
      <c r="I6" t="inlineStr">
        <is>
          <t>Verified</t>
        </is>
      </c>
      <c r="J6" s="40" t="inlineStr">
        <is>
          <t>https://quartzcomponents.com/collections/all/robotics</t>
        </is>
      </c>
    </row>
    <row r="7" ht="18.45" customHeight="1">
      <c r="A7" s="4" t="n">
        <v>5</v>
      </c>
      <c r="B7" s="5" t="inlineStr">
        <is>
          <t>25mm Swivel Caster Wheel</t>
        </is>
      </c>
      <c r="C7" s="5" t="inlineStr">
        <is>
          <t>QuartzComponents</t>
        </is>
      </c>
      <c r="D7" s="4" t="n">
        <v>1</v>
      </c>
      <c r="E7" s="6" t="n">
        <v>21</v>
      </c>
      <c r="F7" s="6">
        <f>D7*E7</f>
        <v/>
      </c>
      <c r="G7" t="inlineStr">
        <is>
          <t>QuartzComponents</t>
        </is>
      </c>
      <c r="I7" t="inlineStr">
        <is>
          <t>Exact product not verified</t>
        </is>
      </c>
      <c r="J7" s="40" t="inlineStr">
        <is>
          <t>https://quartzcomponents.com/collections/robotics</t>
        </is>
      </c>
    </row>
    <row r="8" ht="18.45" customHeight="1">
      <c r="A8" s="4" t="n">
        <v>6</v>
      </c>
      <c r="B8" s="5" t="inlineStr">
        <is>
          <t>18650 Li-Ion Battery (2000–2500mAh)</t>
        </is>
      </c>
      <c r="C8" s="5" t="inlineStr">
        <is>
          <t>QuartzComponents</t>
        </is>
      </c>
      <c r="D8" s="4" t="n">
        <v>2</v>
      </c>
      <c r="E8" s="6" t="n">
        <v>65</v>
      </c>
      <c r="F8" s="6">
        <f>D8*E8</f>
        <v/>
      </c>
      <c r="G8" t="inlineStr">
        <is>
          <t>QuartzComponents</t>
        </is>
      </c>
      <c r="H8" t="n">
        <v>67</v>
      </c>
      <c r="I8" t="inlineStr">
        <is>
          <t>Verified; 2500mAh copy cell</t>
        </is>
      </c>
      <c r="J8" s="40" t="inlineStr">
        <is>
          <t>https://quartzcomponents.com/products/18650-li-ion-2500mah-rechargeable-battery</t>
        </is>
      </c>
    </row>
    <row r="9" ht="18.45" customHeight="1">
      <c r="A9" s="4" t="n">
        <v>7</v>
      </c>
      <c r="B9" s="5" t="inlineStr">
        <is>
          <t>BATTERY CASE FOR 2 BATTERY</t>
        </is>
      </c>
      <c r="C9" s="5" t="inlineStr">
        <is>
          <t>QuartzComponents</t>
        </is>
      </c>
      <c r="D9" s="4" t="n">
        <v>1</v>
      </c>
      <c r="E9" s="6" t="n">
        <v>35</v>
      </c>
      <c r="F9" s="6" t="n">
        <v>30</v>
      </c>
      <c r="G9" t="inlineStr">
        <is>
          <t>QuartzComponents</t>
        </is>
      </c>
      <c r="H9" t="n">
        <v>46</v>
      </c>
      <c r="I9" t="inlineStr">
        <is>
          <t>Verified; 2×18650 holder with cover/switch</t>
        </is>
      </c>
      <c r="J9" s="40" t="inlineStr">
        <is>
          <t>https://quartzcomponents.com/collections/battery-holders</t>
        </is>
      </c>
    </row>
    <row r="10" ht="18.45" customHeight="1">
      <c r="A10" s="4" t="n">
        <v>8</v>
      </c>
      <c r="B10" s="5" t="inlineStr">
        <is>
          <t>XT60 BATTERY CONNECTOR</t>
        </is>
      </c>
      <c r="C10" s="5" t="inlineStr">
        <is>
          <t>QuartzComponents</t>
        </is>
      </c>
      <c r="D10" s="4" t="n">
        <v>1</v>
      </c>
      <c r="E10" s="6" t="n">
        <v>35</v>
      </c>
      <c r="F10" s="6" t="n">
        <v>35</v>
      </c>
      <c r="G10" t="inlineStr">
        <is>
          <t>QuartzComponents</t>
        </is>
      </c>
      <c r="H10" t="n">
        <v>32</v>
      </c>
      <c r="I10" t="inlineStr">
        <is>
          <t>Verified; male/female pair</t>
        </is>
      </c>
      <c r="J10" s="40" t="inlineStr">
        <is>
          <t>https://quartzcomponents.com/products/xt60</t>
        </is>
      </c>
    </row>
    <row r="11" ht="18.45" customHeight="1">
      <c r="A11" s="4" t="n">
        <v>9</v>
      </c>
      <c r="B11" s="5" t="inlineStr">
        <is>
          <t>TP4056 Battery Charging Module</t>
        </is>
      </c>
      <c r="C11" s="5" t="inlineStr">
        <is>
          <t>QuartzComponents</t>
        </is>
      </c>
      <c r="D11" s="4" t="n">
        <v>1</v>
      </c>
      <c r="E11" s="6" t="n">
        <v>16</v>
      </c>
      <c r="F11" s="6">
        <f>D11*E11</f>
        <v/>
      </c>
      <c r="G11" t="inlineStr">
        <is>
          <t>QuartzComponents</t>
        </is>
      </c>
      <c r="I11" t="inlineStr">
        <is>
          <t>Exact current price not verified</t>
        </is>
      </c>
      <c r="J11" s="40" t="inlineStr">
        <is>
          <t>https://quartzcomponents.com/collections/bms-1</t>
        </is>
      </c>
    </row>
    <row r="12" ht="18.45" customHeight="1">
      <c r="A12" s="4" t="n">
        <v>10</v>
      </c>
      <c r="B12" s="13" t="inlineStr">
        <is>
          <t xml:space="preserve">2S BMS </t>
        </is>
      </c>
      <c r="C12" s="5" t="inlineStr">
        <is>
          <t>QuartzComponents</t>
        </is>
      </c>
      <c r="D12" s="12" t="n">
        <v>1</v>
      </c>
      <c r="E12" s="6" t="n">
        <v>52</v>
      </c>
      <c r="F12" s="6">
        <f>D12*E12</f>
        <v/>
      </c>
      <c r="G12" t="inlineStr">
        <is>
          <t>—</t>
        </is>
      </c>
      <c r="I12" t="inlineStr">
        <is>
          <t>Not researched</t>
        </is>
      </c>
    </row>
    <row r="13" ht="18.45" customHeight="1">
      <c r="A13" s="4" t="n">
        <v>11</v>
      </c>
      <c r="B13" s="5" t="inlineStr">
        <is>
          <t>Jumper Wire Set (M2M/M2F/F2F)</t>
        </is>
      </c>
      <c r="C13" s="5" t="inlineStr">
        <is>
          <t>QuartzComponents</t>
        </is>
      </c>
      <c r="D13" s="4" t="n">
        <v>1</v>
      </c>
      <c r="E13" s="6" t="n">
        <v>123</v>
      </c>
      <c r="F13" s="6">
        <f>D13*E13</f>
        <v/>
      </c>
      <c r="G13" t="inlineStr">
        <is>
          <t>QuartzComponents</t>
        </is>
      </c>
      <c r="H13" t="n">
        <v>184</v>
      </c>
      <c r="I13" t="inlineStr">
        <is>
          <t>Verified as MB102 + M2M/M2F combo; sheet price differs</t>
        </is>
      </c>
      <c r="J13" s="40" t="inlineStr">
        <is>
          <t>https://quartzcomponents.com/products/mb102-colored-breadboard-830-points-with-jumper-wires-male-to-male-and-male-to-female-set-of-80</t>
        </is>
      </c>
    </row>
    <row r="14" ht="18.45" customHeight="1">
      <c r="A14" s="4" t="n">
        <v>12</v>
      </c>
      <c r="B14" s="5" t="inlineStr">
        <is>
          <t>2 PIN SPST SWITCH</t>
        </is>
      </c>
      <c r="C14" s="5" t="inlineStr">
        <is>
          <t>QuartzComponents</t>
        </is>
      </c>
      <c r="D14" s="4" t="n">
        <v>1</v>
      </c>
      <c r="E14" s="6" t="n">
        <v>7</v>
      </c>
      <c r="F14" s="6">
        <f>D14*E14</f>
        <v/>
      </c>
      <c r="G14" t="inlineStr">
        <is>
          <t>QuartzComponents</t>
        </is>
      </c>
      <c r="H14" t="n">
        <v>7</v>
      </c>
      <c r="I14" t="inlineStr">
        <is>
          <t>Verified</t>
        </is>
      </c>
      <c r="J14" s="40" t="inlineStr">
        <is>
          <t>https://quartzcomponents.com/collections/switches-connectors</t>
        </is>
      </c>
    </row>
    <row r="15" ht="18.45" customHeight="1">
      <c r="A15" s="4" t="n">
        <v>13</v>
      </c>
      <c r="B15" s="5" t="inlineStr">
        <is>
          <t>MB102 Breadboard – 830 Point</t>
        </is>
      </c>
      <c r="C15" s="5" t="inlineStr">
        <is>
          <t>QuartzComponents</t>
        </is>
      </c>
      <c r="D15" s="4" t="n">
        <v>1</v>
      </c>
      <c r="E15" s="6" t="n">
        <v>65</v>
      </c>
      <c r="F15" s="6">
        <f>D15*E15</f>
        <v/>
      </c>
      <c r="G15" t="inlineStr">
        <is>
          <t>QuartzComponents</t>
        </is>
      </c>
      <c r="H15" t="n">
        <v>184</v>
      </c>
      <c r="I15" t="inlineStr">
        <is>
          <t>Verified as current combo listing</t>
        </is>
      </c>
      <c r="J15" s="40" t="inlineStr">
        <is>
          <t>https://quartzcomponents.com/products/mb102-colored-breadboard-830-points-with-jumper-wires-male-to-male-and-male-to-female-set-of-80</t>
        </is>
      </c>
    </row>
    <row r="16" ht="17.7" customHeight="1">
      <c r="A16" s="4" t="n">
        <v>14</v>
      </c>
      <c r="B16" s="8" t="inlineStr">
        <is>
          <t>5-Channel IR Line Sensor Array (TCRT5000)</t>
        </is>
      </c>
      <c r="C16" s="5" t="inlineStr">
        <is>
          <t>QuartzComponents</t>
        </is>
      </c>
      <c r="D16" s="7" t="n">
        <v>1</v>
      </c>
      <c r="E16" s="9" t="n">
        <v>175</v>
      </c>
      <c r="F16" s="9">
        <f>D16*E16</f>
        <v/>
      </c>
      <c r="G16" t="inlineStr">
        <is>
          <t>QuartzComponents</t>
        </is>
      </c>
      <c r="H16" t="n">
        <v>160</v>
      </c>
      <c r="I16" t="inlineStr">
        <is>
          <t>Verified; current listing</t>
        </is>
      </c>
      <c r="J16" s="40" t="inlineStr">
        <is>
          <t>https://quartzcomponents.com/collections/ir-sensor</t>
        </is>
      </c>
    </row>
    <row r="17" ht="17.7" customHeight="1">
      <c r="A17" s="4" t="n">
        <v>15</v>
      </c>
      <c r="B17" s="5" t="inlineStr">
        <is>
          <t>HC-SR04 Ultrasonic Sensor</t>
        </is>
      </c>
      <c r="C17" s="5" t="inlineStr">
        <is>
          <t>QuartzComponents</t>
        </is>
      </c>
      <c r="D17" s="4" t="n">
        <v>1</v>
      </c>
      <c r="E17" s="6" t="n">
        <v>72</v>
      </c>
      <c r="F17" s="6">
        <f>D17*E17</f>
        <v/>
      </c>
      <c r="G17" t="inlineStr">
        <is>
          <t>QuartzComponents</t>
        </is>
      </c>
      <c r="H17" t="n">
        <v>72</v>
      </c>
      <c r="I17" t="inlineStr">
        <is>
          <t>Verified</t>
        </is>
      </c>
      <c r="J17" s="40" t="inlineStr">
        <is>
          <t>https://quartzcomponents.com/products/hc-sr04-ultrasonic-sensor-module</t>
        </is>
      </c>
    </row>
    <row r="18" ht="17.7" customHeight="1">
      <c r="A18" s="4" t="n">
        <v>16</v>
      </c>
      <c r="B18" s="5" t="inlineStr">
        <is>
          <t>IR Obstacle Avoidance Sensor</t>
        </is>
      </c>
      <c r="C18" s="5" t="inlineStr">
        <is>
          <t>QuartzComponents</t>
        </is>
      </c>
      <c r="D18" s="4" t="n">
        <v>2</v>
      </c>
      <c r="E18" s="6" t="n">
        <v>30</v>
      </c>
      <c r="F18" s="6">
        <f>D18*E18</f>
        <v/>
      </c>
      <c r="G18" t="inlineStr">
        <is>
          <t>QuartzComponents</t>
        </is>
      </c>
      <c r="H18" t="n">
        <v>27</v>
      </c>
      <c r="I18" t="inlineStr">
        <is>
          <t>Verified</t>
        </is>
      </c>
      <c r="J18" s="40" t="inlineStr">
        <is>
          <t>https://quartzcomponents.com/products/ir-lm393-photoelectric-sensor-module</t>
        </is>
      </c>
    </row>
    <row r="19" ht="17.7" customHeight="1">
      <c r="A19" s="4" t="n">
        <v>17</v>
      </c>
      <c r="B19" s="5" t="inlineStr">
        <is>
          <t>LDR (Light Dependent Resistor)</t>
        </is>
      </c>
      <c r="C19" s="5" t="inlineStr">
        <is>
          <t>QuartzComponents</t>
        </is>
      </c>
      <c r="D19" s="4" t="n">
        <v>1</v>
      </c>
      <c r="E19" s="6" t="n">
        <v>33</v>
      </c>
      <c r="F19" s="6">
        <f>D19*E19</f>
        <v/>
      </c>
      <c r="G19" t="inlineStr">
        <is>
          <t>QuartzComponents</t>
        </is>
      </c>
      <c r="H19" t="n">
        <v>5</v>
      </c>
      <c r="I19" t="inlineStr">
        <is>
          <t>Verified</t>
        </is>
      </c>
      <c r="J19" s="40" t="inlineStr">
        <is>
          <t>https://quartzcomponents.com/products/ldr-light-dependent-resistor-5mm</t>
        </is>
      </c>
    </row>
    <row r="20" ht="17.7" customHeight="1">
      <c r="A20" s="4" t="n">
        <v>18</v>
      </c>
      <c r="B20" s="5" t="inlineStr">
        <is>
          <t>Standard 5mm LED</t>
        </is>
      </c>
      <c r="C20" s="5" t="inlineStr">
        <is>
          <t>QuartzComponents</t>
        </is>
      </c>
      <c r="D20" s="4" t="n">
        <v>10</v>
      </c>
      <c r="E20" s="6" t="n">
        <v>2</v>
      </c>
      <c r="F20" s="6">
        <f>D20*E20</f>
        <v/>
      </c>
      <c r="G20" t="inlineStr">
        <is>
          <t>QuartzComponents</t>
        </is>
      </c>
      <c r="H20" t="n">
        <v>2</v>
      </c>
      <c r="I20" t="inlineStr">
        <is>
          <t>Verified for 5mm LED</t>
        </is>
      </c>
      <c r="J20" s="40" t="inlineStr">
        <is>
          <t>https://quartzcomponents.com/products/green-5mm-led</t>
        </is>
      </c>
    </row>
    <row r="21" ht="17.7" customHeight="1">
      <c r="A21" s="4" t="n">
        <v>19</v>
      </c>
      <c r="B21" s="5" t="inlineStr">
        <is>
          <t>RESISTOR KIT</t>
        </is>
      </c>
      <c r="C21" s="5" t="inlineStr">
        <is>
          <t>QuartzComponents</t>
        </is>
      </c>
      <c r="D21" s="4" t="n">
        <v>1</v>
      </c>
      <c r="E21" s="6" t="n">
        <v>50</v>
      </c>
      <c r="F21" s="6">
        <f>D21*E21</f>
        <v/>
      </c>
      <c r="G21" t="inlineStr">
        <is>
          <t>QuartzComponents</t>
        </is>
      </c>
      <c r="H21" t="n">
        <v>78</v>
      </c>
      <c r="I21" t="inlineStr">
        <is>
          <t>Verified; 30-value/150-resistor kit</t>
        </is>
      </c>
      <c r="J21" s="40" t="inlineStr">
        <is>
          <t>https://quartzcomponents.com/collections/components</t>
        </is>
      </c>
    </row>
    <row r="22" ht="17.7" customHeight="1">
      <c r="A22" s="4" t="n">
        <v>20</v>
      </c>
      <c r="B22" s="5" t="inlineStr">
        <is>
          <t>5V Active Buzzer</t>
        </is>
      </c>
      <c r="C22" s="5" t="inlineStr">
        <is>
          <t>QuartzComponents</t>
        </is>
      </c>
      <c r="D22" s="4" t="n">
        <v>1</v>
      </c>
      <c r="E22" s="6" t="n">
        <v>16</v>
      </c>
      <c r="F22" s="6">
        <f>D22*E22</f>
        <v/>
      </c>
      <c r="G22" t="inlineStr">
        <is>
          <t>QuartzComponents</t>
        </is>
      </c>
      <c r="H22" t="n">
        <v>27</v>
      </c>
      <c r="I22" t="inlineStr">
        <is>
          <t>Verified; active buzzer module</t>
        </is>
      </c>
      <c r="J22" s="40" t="inlineStr">
        <is>
          <t>https://quartzcomponents.com/collections/popular-products/products/active-buzzer-module</t>
        </is>
      </c>
    </row>
    <row r="23" ht="23.4" customHeight="1">
      <c r="A23" s="34" t="inlineStr">
        <is>
          <t>SUBTOTAL</t>
        </is>
      </c>
      <c r="B23" s="41" t="n"/>
      <c r="C23" s="41" t="n"/>
      <c r="D23" s="41" t="n"/>
      <c r="E23" s="2" t="n"/>
      <c r="F23" s="3">
        <f>SUM(F3:F22)</f>
        <v/>
      </c>
    </row>
    <row r="24"/>
    <row r="25" ht="23.4" customHeight="1">
      <c r="D25" s="35" t="inlineStr">
        <is>
          <t>NET</t>
        </is>
      </c>
      <c r="F25" s="10">
        <f>F23+0.12*F23</f>
        <v/>
      </c>
    </row>
    <row r="26"/>
    <row r="27" ht="23.4" customHeight="1">
      <c r="D27" s="35" t="inlineStr">
        <is>
          <t>FOR 6 UNITS</t>
        </is>
      </c>
      <c r="F27" s="10">
        <f>F25*6</f>
        <v/>
      </c>
    </row>
  </sheetData>
  <mergeCells count="4">
    <mergeCell ref="D25:E25"/>
    <mergeCell ref="A23:D23"/>
    <mergeCell ref="A1:F1"/>
    <mergeCell ref="D27:E27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zoomScaleNormal="100" workbookViewId="0">
      <pane ySplit="2" topLeftCell="A3" activePane="bottomLeft" state="frozen"/>
      <selection pane="bottomLeft" activeCell="B7" sqref="B7"/>
    </sheetView>
  </sheetViews>
  <sheetFormatPr baseColWidth="8" defaultRowHeight="19.5" customHeight="1"/>
  <cols>
    <col width="19" bestFit="1" customWidth="1" min="1" max="1"/>
    <col width="37" customWidth="1" min="2" max="2"/>
    <col width="18" customWidth="1" min="3" max="3"/>
    <col width="13" customWidth="1" min="4" max="5"/>
    <col width="12" customWidth="1" min="5" max="5"/>
    <col width="15" customWidth="1" min="6" max="6"/>
    <col width="18" customWidth="1" min="7" max="7"/>
    <col width="15" customWidth="1" min="8" max="8"/>
    <col width="55" customWidth="1" min="9" max="9"/>
    <col width="55" customWidth="1" min="10" max="10"/>
  </cols>
  <sheetData>
    <row r="1" ht="19.5" customHeight="1">
      <c r="A1" s="30" t="inlineStr">
        <is>
          <t xml:space="preserve">QUADROPAD KIT </t>
        </is>
      </c>
      <c r="B1" s="38" t="n"/>
      <c r="C1" s="38" t="n"/>
      <c r="D1" s="38" t="n"/>
      <c r="E1" s="38" t="n"/>
      <c r="F1" s="38" t="n"/>
    </row>
    <row r="2" ht="19.5" customHeight="1">
      <c r="A2" s="1" t="inlineStr">
        <is>
          <t>S.No</t>
        </is>
      </c>
      <c r="B2" s="1" t="inlineStr">
        <is>
          <t>Component Name</t>
        </is>
      </c>
      <c r="C2" s="1" t="inlineStr">
        <is>
          <t>Vendor</t>
        </is>
      </c>
      <c r="D2" s="1" t="inlineStr">
        <is>
          <t>Qty</t>
        </is>
      </c>
      <c r="E2" s="1" t="inlineStr">
        <is>
          <t>Price (₹)</t>
        </is>
      </c>
      <c r="F2" s="1" t="inlineStr">
        <is>
          <t>Amount (₹)</t>
        </is>
      </c>
      <c r="G2" s="39" t="inlineStr">
        <is>
          <t>Internet Vendor</t>
        </is>
      </c>
      <c r="H2" s="39" t="inlineStr">
        <is>
          <t>Web Price (₹)</t>
        </is>
      </c>
      <c r="I2" s="39" t="inlineStr">
        <is>
          <t>Web Status</t>
        </is>
      </c>
      <c r="J2" s="39" t="inlineStr">
        <is>
          <t>Internet Source</t>
        </is>
      </c>
    </row>
    <row r="3" ht="19.5" customHeight="1">
      <c r="A3" s="4" t="n">
        <v>1</v>
      </c>
      <c r="B3" s="5" t="inlineStr">
        <is>
          <t>PCA9685 16-channel servo driver</t>
        </is>
      </c>
      <c r="C3" s="11" t="inlineStr">
        <is>
          <t>QuartzComponents</t>
        </is>
      </c>
      <c r="D3" s="4" t="n">
        <v>1</v>
      </c>
      <c r="E3" s="6" t="n">
        <v>228</v>
      </c>
      <c r="F3" s="6">
        <f>D3*E3</f>
        <v/>
      </c>
      <c r="G3" t="inlineStr">
        <is>
          <t>QuartzComponents</t>
        </is>
      </c>
      <c r="H3" t="n">
        <v>212</v>
      </c>
      <c r="I3" t="inlineStr">
        <is>
          <t>Verified current listing; sheet says ₹228</t>
        </is>
      </c>
      <c r="J3" s="40" t="inlineStr">
        <is>
          <t>https://quartzcomponents.com/products/16-channel-12-bit-pwm-servo-driver-i2c-interface-pca9685-for-arduino-raspberry-pi</t>
        </is>
      </c>
    </row>
    <row r="4" ht="19.5" customHeight="1">
      <c r="A4" s="4" t="n">
        <v>2</v>
      </c>
      <c r="B4" s="11" t="inlineStr">
        <is>
          <t>MG90S servo motors</t>
        </is>
      </c>
      <c r="C4" s="11" t="inlineStr">
        <is>
          <t>QuartzComponents</t>
        </is>
      </c>
      <c r="D4" s="4" t="n">
        <v>8</v>
      </c>
      <c r="E4" s="6" t="n">
        <v>124</v>
      </c>
      <c r="F4" s="6">
        <f>D4*E4</f>
        <v/>
      </c>
      <c r="G4" t="inlineStr">
        <is>
          <t>QuartzComponents</t>
        </is>
      </c>
      <c r="H4" t="n">
        <v>124</v>
      </c>
      <c r="I4" t="inlineStr">
        <is>
          <t>Verified</t>
        </is>
      </c>
      <c r="J4" s="40" t="inlineStr">
        <is>
          <t>https://quartzcomponents.com/collections/servo-motor</t>
        </is>
      </c>
    </row>
    <row r="5" ht="19.5" customHeight="1">
      <c r="A5" s="4" t="n">
        <v>3</v>
      </c>
      <c r="B5" s="11" t="inlineStr">
        <is>
          <t>0.96inches OLED display</t>
        </is>
      </c>
      <c r="C5" s="5" t="inlineStr">
        <is>
          <t>QuartzComponents</t>
        </is>
      </c>
      <c r="D5" s="4" t="n">
        <v>1</v>
      </c>
      <c r="E5" s="6" t="n">
        <v>144</v>
      </c>
      <c r="F5" s="6">
        <f>D5*E5</f>
        <v/>
      </c>
      <c r="G5" t="inlineStr">
        <is>
          <t>QuartzComponents</t>
        </is>
      </c>
      <c r="H5" t="n">
        <v>138</v>
      </c>
      <c r="I5" t="inlineStr">
        <is>
          <t>Verified current listing; sheet says ₹144</t>
        </is>
      </c>
      <c r="J5" s="40" t="inlineStr">
        <is>
          <t>https://quartzcomponents.com/products/oled-display-0-96-inch-i2c-interface-4-pin-blue-ssd1306</t>
        </is>
      </c>
    </row>
    <row r="6" ht="19.5" customHeight="1">
      <c r="A6" s="4" t="n">
        <v>4</v>
      </c>
      <c r="B6" s="11" t="inlineStr">
        <is>
          <t>VL53L0X ToF sensor</t>
        </is>
      </c>
      <c r="C6" s="5" t="inlineStr">
        <is>
          <t>QuartzComponents</t>
        </is>
      </c>
      <c r="D6" s="4" t="n">
        <v>1</v>
      </c>
      <c r="E6" s="6" t="n">
        <v>181</v>
      </c>
      <c r="F6" s="6">
        <f>D6*E6</f>
        <v/>
      </c>
      <c r="G6" t="inlineStr">
        <is>
          <t>QuartzComponents</t>
        </is>
      </c>
      <c r="I6" t="inlineStr">
        <is>
          <t>Verified current product exists; current price not captured</t>
        </is>
      </c>
      <c r="J6" s="40" t="inlineStr">
        <is>
          <t>https://quartzcomponents.com/products/gy-53-vl53l0x-laser-tof-flight-time-range-sensor</t>
        </is>
      </c>
    </row>
    <row r="7" ht="19.5" customHeight="1">
      <c r="A7" s="4" t="n">
        <v>5</v>
      </c>
      <c r="B7" s="11" t="inlineStr">
        <is>
          <t>HC-SR04 ultrasonic sensor</t>
        </is>
      </c>
      <c r="C7" s="5" t="inlineStr">
        <is>
          <t>QuartzComponents</t>
        </is>
      </c>
      <c r="D7" s="4" t="n">
        <v>1</v>
      </c>
      <c r="E7" s="6" t="n">
        <v>72</v>
      </c>
      <c r="F7" s="6">
        <f>D7*E7</f>
        <v/>
      </c>
      <c r="G7" t="inlineStr">
        <is>
          <t>—</t>
        </is>
      </c>
      <c r="I7" t="inlineStr">
        <is>
          <t>Not researched</t>
        </is>
      </c>
    </row>
    <row r="8" ht="19.5" customHeight="1">
      <c r="A8" s="4" t="n">
        <v>6</v>
      </c>
      <c r="B8" s="5" t="inlineStr">
        <is>
          <t>5V BEC buck converter</t>
        </is>
      </c>
      <c r="C8" s="5" t="inlineStr">
        <is>
          <t>QuartzComponents</t>
        </is>
      </c>
      <c r="D8" s="4" t="n">
        <v>1</v>
      </c>
      <c r="E8" s="6" t="n">
        <v>137</v>
      </c>
      <c r="F8" s="6">
        <f>D8*E8</f>
        <v/>
      </c>
      <c r="G8" t="inlineStr">
        <is>
          <t>QuartzComponents</t>
        </is>
      </c>
      <c r="H8" t="n">
        <v>79</v>
      </c>
      <c r="I8" t="inlineStr">
        <is>
          <t>Verified 5V/3A BEC</t>
        </is>
      </c>
      <c r="J8" s="40" t="inlineStr">
        <is>
          <t>https://quartzcomponents.com/products/ultra-small-size-dc-dc-5v-3a-bec-power-supply-buck-step-down-module</t>
        </is>
      </c>
    </row>
    <row r="9" ht="19.5" customHeight="1">
      <c r="A9" s="4" t="n">
        <v>7</v>
      </c>
      <c r="B9" s="5" t="inlineStr">
        <is>
          <t>18650 Li-Ion Battery (2000–2500mAh)</t>
        </is>
      </c>
      <c r="C9" s="5" t="inlineStr">
        <is>
          <t>QuartzComponents</t>
        </is>
      </c>
      <c r="D9" s="4" t="n">
        <v>2</v>
      </c>
      <c r="E9" s="6" t="n">
        <v>65</v>
      </c>
      <c r="F9" s="6">
        <f>D9*E9</f>
        <v/>
      </c>
      <c r="G9" t="inlineStr">
        <is>
          <t>QuartzComponents</t>
        </is>
      </c>
      <c r="H9" t="n">
        <v>67</v>
      </c>
      <c r="I9" t="inlineStr">
        <is>
          <t>Verified; 2500mAh copy cell</t>
        </is>
      </c>
      <c r="J9" s="40" t="inlineStr">
        <is>
          <t>https://quartzcomponents.com/products/18650-li-ion-2500mah-rechargeable-battery</t>
        </is>
      </c>
    </row>
    <row r="10" ht="19.5" customHeight="1">
      <c r="A10" s="4" t="n">
        <v>8</v>
      </c>
      <c r="B10" s="5" t="inlineStr">
        <is>
          <t>BATTERY CASE FOR 2 BATTERY</t>
        </is>
      </c>
      <c r="C10" s="5" t="inlineStr">
        <is>
          <t>QuartzComponents</t>
        </is>
      </c>
      <c r="D10" s="4" t="n">
        <v>1</v>
      </c>
      <c r="E10" s="6" t="n">
        <v>35</v>
      </c>
      <c r="F10" s="6">
        <f>D10*E10</f>
        <v/>
      </c>
      <c r="G10" t="inlineStr">
        <is>
          <t>QuartzComponents</t>
        </is>
      </c>
      <c r="H10" t="n">
        <v>46</v>
      </c>
      <c r="I10" t="inlineStr">
        <is>
          <t>Verified; 2×18650 holder with cover/switch</t>
        </is>
      </c>
      <c r="J10" s="40" t="inlineStr">
        <is>
          <t>https://quartzcomponents.com/collections/battery-holders</t>
        </is>
      </c>
    </row>
    <row r="11" ht="19.5" customHeight="1">
      <c r="A11" s="4" t="n">
        <v>9</v>
      </c>
      <c r="B11" s="5" t="inlineStr">
        <is>
          <t>SPST power switch</t>
        </is>
      </c>
      <c r="C11" s="5" t="inlineStr">
        <is>
          <t>QuartzComponents</t>
        </is>
      </c>
      <c r="D11" s="4" t="n">
        <v>1</v>
      </c>
      <c r="E11" s="6" t="n">
        <v>7</v>
      </c>
      <c r="F11" s="6">
        <f>D11*E11</f>
        <v/>
      </c>
      <c r="G11" t="inlineStr">
        <is>
          <t>QuartzComponents</t>
        </is>
      </c>
      <c r="H11" t="n">
        <v>7</v>
      </c>
      <c r="I11" t="inlineStr">
        <is>
          <t>Verified</t>
        </is>
      </c>
      <c r="J11" s="40" t="inlineStr">
        <is>
          <t>https://quartzcomponents.com/collections/switches-connectors</t>
        </is>
      </c>
    </row>
    <row r="12" ht="19.5" customHeight="1">
      <c r="A12" s="4" t="n">
        <v>10</v>
      </c>
      <c r="B12" s="5" t="inlineStr">
        <is>
          <t>5 V buzzer</t>
        </is>
      </c>
      <c r="C12" s="5" t="inlineStr">
        <is>
          <t>QuartzComponents</t>
        </is>
      </c>
      <c r="D12" s="4" t="n">
        <v>1</v>
      </c>
      <c r="E12" s="6" t="n">
        <v>27</v>
      </c>
      <c r="F12" s="6">
        <f>D12*E12</f>
        <v/>
      </c>
      <c r="G12" t="inlineStr">
        <is>
          <t>—</t>
        </is>
      </c>
      <c r="I12" t="inlineStr">
        <is>
          <t>Not researched</t>
        </is>
      </c>
    </row>
    <row r="13" ht="19.5" customHeight="1">
      <c r="A13" s="4" t="n">
        <v>11</v>
      </c>
      <c r="B13" s="5" t="inlineStr">
        <is>
          <t>ESP32 DEV KIT</t>
        </is>
      </c>
      <c r="C13" s="5" t="inlineStr">
        <is>
          <t>QuartzComponents</t>
        </is>
      </c>
      <c r="D13" s="4" t="n">
        <v>1</v>
      </c>
      <c r="E13" s="6" t="n">
        <v>358</v>
      </c>
      <c r="F13" s="6">
        <f>D13*E13</f>
        <v/>
      </c>
      <c r="G13" t="inlineStr">
        <is>
          <t>QuartzComponents</t>
        </is>
      </c>
      <c r="H13" t="n">
        <v>358</v>
      </c>
      <c r="I13" t="inlineStr">
        <is>
          <t>Verified</t>
        </is>
      </c>
      <c r="J13" s="40" t="inlineStr">
        <is>
          <t>https://quartzcomponents.com/collections/esp-boards</t>
        </is>
      </c>
    </row>
    <row r="14" ht="19.5" customHeight="1">
      <c r="A14" s="4" t="n">
        <v>12</v>
      </c>
      <c r="B14" s="13" t="inlineStr">
        <is>
          <t xml:space="preserve">2S BMS </t>
        </is>
      </c>
      <c r="C14" s="5" t="inlineStr">
        <is>
          <t>QuartzComponents</t>
        </is>
      </c>
      <c r="D14" s="12" t="n">
        <v>1</v>
      </c>
      <c r="E14" s="6" t="n">
        <v>52</v>
      </c>
      <c r="F14" s="6">
        <f>D14*E14</f>
        <v/>
      </c>
      <c r="G14" t="inlineStr">
        <is>
          <t>—</t>
        </is>
      </c>
      <c r="I14" t="inlineStr">
        <is>
          <t>Not researched</t>
        </is>
      </c>
    </row>
    <row r="15" ht="19.5" customHeight="1">
      <c r="A15" s="12" t="n">
        <v>13</v>
      </c>
      <c r="B15" s="5" t="inlineStr">
        <is>
          <t>XT60 BATTERY CONNECTOR</t>
        </is>
      </c>
      <c r="C15" s="5" t="inlineStr">
        <is>
          <t>QuartzComponents</t>
        </is>
      </c>
      <c r="D15" s="4" t="n">
        <v>1</v>
      </c>
      <c r="E15" s="6" t="n">
        <v>35</v>
      </c>
      <c r="F15" s="6" t="n">
        <v>35</v>
      </c>
      <c r="G15" t="inlineStr">
        <is>
          <t>QuartzComponents</t>
        </is>
      </c>
      <c r="H15" t="n">
        <v>32</v>
      </c>
      <c r="I15" t="inlineStr">
        <is>
          <t>Verified; male/female pair</t>
        </is>
      </c>
      <c r="J15" s="40" t="inlineStr">
        <is>
          <t>https://quartzcomponents.com/products/xt60</t>
        </is>
      </c>
    </row>
    <row r="16" ht="19.5" customHeight="1">
      <c r="A16" s="34" t="inlineStr">
        <is>
          <t>BASE KIT SUBTOTAL</t>
        </is>
      </c>
      <c r="B16" s="41" t="n"/>
      <c r="C16" s="41" t="n"/>
      <c r="D16" s="41" t="n"/>
      <c r="E16" s="2" t="n"/>
      <c r="F16" s="3">
        <f>SUM(F3:F15)</f>
        <v/>
      </c>
    </row>
    <row r="17"/>
    <row r="18" ht="19.5" customHeight="1">
      <c r="D18" s="35" t="inlineStr">
        <is>
          <t>NET</t>
        </is>
      </c>
      <c r="F18" s="10">
        <f>F16+0.12*F16</f>
        <v/>
      </c>
    </row>
    <row r="19"/>
    <row r="20" ht="19.5" customHeight="1">
      <c r="D20" s="35" t="inlineStr">
        <is>
          <t>FOR 6 UNITS</t>
        </is>
      </c>
      <c r="F20" s="10">
        <f>F18*6</f>
        <v/>
      </c>
    </row>
  </sheetData>
  <mergeCells count="4">
    <mergeCell ref="D20:E20"/>
    <mergeCell ref="A1:F1"/>
    <mergeCell ref="A16:D16"/>
    <mergeCell ref="D18:E18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3" r:id="rId9"/>
    <hyperlink xmlns:r="http://schemas.openxmlformats.org/officeDocument/2006/relationships" ref="J15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F13" sqref="F13"/>
    </sheetView>
  </sheetViews>
  <sheetFormatPr baseColWidth="8" defaultRowHeight="14.4"/>
  <cols>
    <col width="27" bestFit="1" customWidth="1" min="1" max="1"/>
    <col width="37" customWidth="1" min="2" max="2"/>
    <col width="18" customWidth="1" min="3" max="3"/>
    <col width="13" customWidth="1" min="4" max="4"/>
    <col width="12" customWidth="1" min="5" max="5"/>
    <col width="13" customWidth="1" min="6" max="6"/>
    <col width="18" customWidth="1" min="7" max="7"/>
    <col width="15" customWidth="1" min="8" max="8"/>
    <col width="44" customWidth="1" min="9" max="9"/>
    <col width="55" customWidth="1" min="10" max="10"/>
  </cols>
  <sheetData>
    <row r="1" ht="24.75" customHeight="1">
      <c r="A1" s="30" t="inlineStr">
        <is>
          <t>SECTION 1 — GESTURE GOLVE</t>
        </is>
      </c>
      <c r="B1" s="38" t="n"/>
      <c r="C1" s="38" t="n"/>
      <c r="D1" s="38" t="n"/>
      <c r="E1" s="38" t="n"/>
      <c r="F1" s="38" t="n"/>
    </row>
    <row r="2" ht="25.2" customHeight="1">
      <c r="A2" s="1" t="inlineStr">
        <is>
          <t>S.No</t>
        </is>
      </c>
      <c r="B2" s="1" t="inlineStr">
        <is>
          <t>Component Name</t>
        </is>
      </c>
      <c r="C2" s="1" t="inlineStr">
        <is>
          <t>Vendor</t>
        </is>
      </c>
      <c r="D2" s="1" t="inlineStr">
        <is>
          <t>Qty</t>
        </is>
      </c>
      <c r="E2" s="1" t="inlineStr">
        <is>
          <t>Price (₹)</t>
        </is>
      </c>
      <c r="F2" s="1" t="inlineStr">
        <is>
          <t>Amount (₹)</t>
        </is>
      </c>
      <c r="G2" s="39" t="inlineStr">
        <is>
          <t>Internet Vendor</t>
        </is>
      </c>
      <c r="H2" s="39" t="inlineStr">
        <is>
          <t>Web Price (₹)</t>
        </is>
      </c>
      <c r="I2" s="39" t="inlineStr">
        <is>
          <t>Web Status</t>
        </is>
      </c>
      <c r="J2" s="39" t="inlineStr">
        <is>
          <t>Internet Source</t>
        </is>
      </c>
    </row>
    <row r="3">
      <c r="A3" s="4" t="n">
        <v>1</v>
      </c>
      <c r="B3" s="5" t="inlineStr">
        <is>
          <t>ESP32 DEV KIT</t>
        </is>
      </c>
      <c r="C3" s="5" t="inlineStr">
        <is>
          <t>QuartzComponents</t>
        </is>
      </c>
      <c r="D3" s="4" t="n">
        <v>1</v>
      </c>
      <c r="E3" s="6" t="n">
        <v>358</v>
      </c>
      <c r="F3" s="6">
        <f>D3*E3</f>
        <v/>
      </c>
      <c r="G3" t="inlineStr">
        <is>
          <t>QuartzComponents</t>
        </is>
      </c>
      <c r="H3" t="n">
        <v>358</v>
      </c>
      <c r="I3" t="inlineStr">
        <is>
          <t>Verified</t>
        </is>
      </c>
      <c r="J3" s="40" t="inlineStr">
        <is>
          <t>https://quartzcomponents.com/collections/esp-boards</t>
        </is>
      </c>
    </row>
    <row r="4">
      <c r="A4" s="4" t="n">
        <v>2</v>
      </c>
      <c r="B4" s="5" t="inlineStr">
        <is>
          <t>MPU 6050 IMU 3 AXIS</t>
        </is>
      </c>
      <c r="C4" s="5" t="inlineStr">
        <is>
          <t>QuartzComponents</t>
        </is>
      </c>
      <c r="D4" s="4" t="n">
        <v>1</v>
      </c>
      <c r="E4" s="6" t="n">
        <v>154</v>
      </c>
      <c r="F4" s="6">
        <f>D4*E4</f>
        <v/>
      </c>
      <c r="G4" t="inlineStr">
        <is>
          <t>QuartzComponents</t>
        </is>
      </c>
      <c r="H4" t="n">
        <v>154</v>
      </c>
      <c r="I4" t="inlineStr">
        <is>
          <t>Verified module listing</t>
        </is>
      </c>
      <c r="J4" s="40" t="inlineStr">
        <is>
          <t>https://quartzcomponents.com/collections/discount-sale</t>
        </is>
      </c>
    </row>
    <row r="5">
      <c r="A5" s="4" t="n">
        <v>3</v>
      </c>
      <c r="B5" s="5" t="inlineStr">
        <is>
          <t>18650 Li-Ion Battery (2000–2500mAh)</t>
        </is>
      </c>
      <c r="C5" s="5" t="inlineStr">
        <is>
          <t>QuartzComponents</t>
        </is>
      </c>
      <c r="D5" s="4" t="n">
        <v>2</v>
      </c>
      <c r="E5" s="6" t="n">
        <v>65</v>
      </c>
      <c r="F5" s="6">
        <f>D5*E5</f>
        <v/>
      </c>
      <c r="G5" t="inlineStr">
        <is>
          <t>QuartzComponents</t>
        </is>
      </c>
      <c r="H5" t="n">
        <v>67</v>
      </c>
      <c r="I5" t="inlineStr">
        <is>
          <t>Verified; 2500mAh copy cell</t>
        </is>
      </c>
      <c r="J5" s="40" t="inlineStr">
        <is>
          <t>https://quartzcomponents.com/products/18650-li-ion-2500mah-rechargeable-battery</t>
        </is>
      </c>
    </row>
    <row r="6">
      <c r="A6" s="4" t="n">
        <v>4</v>
      </c>
      <c r="B6" s="5" t="inlineStr">
        <is>
          <t>BATTERY CASE FOR 2 BATTERY</t>
        </is>
      </c>
      <c r="C6" s="5" t="inlineStr">
        <is>
          <t>QuartzComponents</t>
        </is>
      </c>
      <c r="D6" s="4" t="n">
        <v>1</v>
      </c>
      <c r="E6" s="6" t="n">
        <v>35</v>
      </c>
      <c r="F6" s="6" t="n">
        <v>30</v>
      </c>
      <c r="G6" t="inlineStr">
        <is>
          <t>QuartzComponents</t>
        </is>
      </c>
      <c r="H6" t="n">
        <v>46</v>
      </c>
      <c r="I6" t="inlineStr">
        <is>
          <t>Verified; 2×18650 holder with cover/switch</t>
        </is>
      </c>
      <c r="J6" s="40" t="inlineStr">
        <is>
          <t>https://quartzcomponents.com/collections/battery-holders</t>
        </is>
      </c>
    </row>
    <row r="7">
      <c r="A7" s="4" t="n">
        <v>5</v>
      </c>
      <c r="B7" s="5" t="inlineStr">
        <is>
          <t>XT60 BATTERY CONNECTOR</t>
        </is>
      </c>
      <c r="C7" s="5" t="inlineStr">
        <is>
          <t>QuartzComponents</t>
        </is>
      </c>
      <c r="D7" s="4" t="n">
        <v>1</v>
      </c>
      <c r="E7" s="6" t="n">
        <v>35</v>
      </c>
      <c r="F7" s="6" t="n">
        <v>35</v>
      </c>
      <c r="G7" t="inlineStr">
        <is>
          <t>QuartzComponents</t>
        </is>
      </c>
      <c r="H7" t="n">
        <v>32</v>
      </c>
      <c r="I7" t="inlineStr">
        <is>
          <t>Verified; male/female pair</t>
        </is>
      </c>
      <c r="J7" s="40" t="inlineStr">
        <is>
          <t>https://quartzcomponents.com/products/xt60</t>
        </is>
      </c>
    </row>
    <row r="8">
      <c r="A8" s="4" t="n">
        <v>6</v>
      </c>
      <c r="B8" s="5" t="inlineStr">
        <is>
          <t>TP4056 Battery Charging Module</t>
        </is>
      </c>
      <c r="C8" s="5" t="inlineStr">
        <is>
          <t>QuartzComponents</t>
        </is>
      </c>
      <c r="D8" s="4" t="n">
        <v>1</v>
      </c>
      <c r="E8" s="6" t="n">
        <v>16</v>
      </c>
      <c r="F8" s="6">
        <f>D8*E8</f>
        <v/>
      </c>
      <c r="G8" t="inlineStr">
        <is>
          <t>QuartzComponents</t>
        </is>
      </c>
      <c r="I8" t="inlineStr">
        <is>
          <t>Exact current price not verified</t>
        </is>
      </c>
      <c r="J8" s="40" t="inlineStr">
        <is>
          <t>https://quartzcomponents.com/collections/bms-1</t>
        </is>
      </c>
    </row>
    <row r="9">
      <c r="A9" s="34" t="inlineStr">
        <is>
          <t>SUBTOTAL</t>
        </is>
      </c>
      <c r="B9" s="41" t="n"/>
      <c r="C9" s="41" t="n"/>
      <c r="D9" s="41" t="n"/>
      <c r="E9" s="2" t="n"/>
      <c r="F9" s="3">
        <f>SUM(F3:F8)</f>
        <v/>
      </c>
    </row>
    <row r="10"/>
    <row r="11" ht="25.8" customHeight="1">
      <c r="D11" s="35" t="inlineStr">
        <is>
          <t>NET</t>
        </is>
      </c>
      <c r="F11" s="10">
        <f>F9+0.12*F9</f>
        <v/>
      </c>
    </row>
    <row r="12"/>
    <row r="13" ht="25.8" customHeight="1">
      <c r="D13" s="35" t="inlineStr">
        <is>
          <t>FOR 3 UNITS</t>
        </is>
      </c>
      <c r="F13" s="10">
        <f>F11*3</f>
        <v/>
      </c>
    </row>
  </sheetData>
  <mergeCells count="4">
    <mergeCell ref="D13:E13"/>
    <mergeCell ref="A1:F1"/>
    <mergeCell ref="A9:D9"/>
    <mergeCell ref="D11:E1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topLeftCell="A10" zoomScale="130" zoomScaleNormal="130" workbookViewId="0">
      <pane ySplit="2" topLeftCell="A3" activePane="bottomLeft" state="frozen"/>
      <selection pane="bottomLeft" activeCell="D51" sqref="D51"/>
    </sheetView>
  </sheetViews>
  <sheetFormatPr baseColWidth="8" defaultColWidth="12.77734375" defaultRowHeight="18.45" customHeight="1"/>
  <cols>
    <col width="15" customWidth="1" min="1" max="1"/>
    <col width="43" customWidth="1" min="2" max="2"/>
    <col width="12" customWidth="1" min="3" max="3"/>
    <col width="12" customWidth="1" min="4" max="4"/>
    <col width="14" customWidth="1" min="5" max="5"/>
    <col width="18" customWidth="1" min="6" max="6"/>
    <col width="15" customWidth="1" min="7" max="7"/>
    <col width="55" customWidth="1" min="8" max="8"/>
    <col width="55" customWidth="1" min="9" max="9"/>
  </cols>
  <sheetData>
    <row r="1" ht="18.45" customHeight="1">
      <c r="A1" s="30" t="inlineStr">
        <is>
          <t>FOR 4 + 4 + 2</t>
        </is>
      </c>
      <c r="B1" s="38" t="n"/>
      <c r="C1" s="38" t="n"/>
      <c r="D1" s="38" t="n"/>
      <c r="E1" s="38" t="n"/>
    </row>
    <row r="2" ht="18.45" customHeight="1">
      <c r="A2" s="14" t="inlineStr">
        <is>
          <t>S.No</t>
        </is>
      </c>
      <c r="B2" s="14" t="inlineStr">
        <is>
          <t>Component Name</t>
        </is>
      </c>
      <c r="C2" s="14" t="inlineStr">
        <is>
          <t>Qty</t>
        </is>
      </c>
      <c r="D2" s="14" t="inlineStr">
        <is>
          <t>Price (₹)</t>
        </is>
      </c>
      <c r="E2" s="14" t="inlineStr">
        <is>
          <t>Amount (₹)</t>
        </is>
      </c>
      <c r="F2" s="39" t="inlineStr">
        <is>
          <t>Internet Vendor</t>
        </is>
      </c>
      <c r="G2" s="39" t="inlineStr">
        <is>
          <t>Web Price (₹)</t>
        </is>
      </c>
      <c r="H2" s="39" t="inlineStr">
        <is>
          <t>Web Status</t>
        </is>
      </c>
      <c r="I2" s="39" t="inlineStr">
        <is>
          <t>Internet Source</t>
        </is>
      </c>
    </row>
    <row r="3" ht="18.45" customHeight="1">
      <c r="A3" s="32" t="n">
        <v>1</v>
      </c>
      <c r="B3" s="18" t="inlineStr">
        <is>
          <t>ESP32 DEV KIT</t>
        </is>
      </c>
      <c r="C3" s="32" t="n">
        <v>10</v>
      </c>
      <c r="D3" s="33" t="n">
        <v>358</v>
      </c>
      <c r="E3" s="33">
        <f>C3*D3</f>
        <v/>
      </c>
      <c r="F3" t="inlineStr">
        <is>
          <t>QuartzComponents</t>
        </is>
      </c>
      <c r="G3" t="n">
        <v>358</v>
      </c>
      <c r="H3" t="inlineStr">
        <is>
          <t>Verified</t>
        </is>
      </c>
      <c r="I3" s="40" t="inlineStr">
        <is>
          <t>https://quartzcomponents.com/collections/esp-boards</t>
        </is>
      </c>
    </row>
    <row r="4" ht="18.45" customHeight="1">
      <c r="A4" s="32" t="n">
        <v>2</v>
      </c>
      <c r="B4" s="18" t="inlineStr">
        <is>
          <t>L298N 2A Motor Driver Module</t>
        </is>
      </c>
      <c r="C4" s="32" t="n">
        <v>4</v>
      </c>
      <c r="D4" s="33" t="n">
        <v>128</v>
      </c>
      <c r="E4" s="33">
        <f>C4*D4</f>
        <v/>
      </c>
      <c r="F4" t="inlineStr">
        <is>
          <t>QuartzComponents</t>
        </is>
      </c>
      <c r="G4" t="n">
        <v>124</v>
      </c>
      <c r="H4" t="inlineStr">
        <is>
          <t>Verified</t>
        </is>
      </c>
      <c r="I4" s="40" t="inlineStr">
        <is>
          <t>https://quartzcomponents.com/products/l298n-2a-based-motor-driver-module</t>
        </is>
      </c>
    </row>
    <row r="5" ht="18.45" customHeight="1">
      <c r="A5" s="32" t="n">
        <v>3</v>
      </c>
      <c r="B5" s="18" t="inlineStr">
        <is>
          <t>200 RPM Dual-Shaft BO Motor</t>
        </is>
      </c>
      <c r="C5" s="32" t="n">
        <v>4</v>
      </c>
      <c r="D5" s="33" t="n">
        <v>120</v>
      </c>
      <c r="E5" s="33">
        <f>C5*D5</f>
        <v/>
      </c>
      <c r="F5" t="inlineStr">
        <is>
          <t>Harish Projects</t>
        </is>
      </c>
      <c r="G5" t="n">
        <v>50</v>
      </c>
      <c r="H5" t="inlineStr">
        <is>
          <t>Verified via shopping result</t>
        </is>
      </c>
    </row>
    <row r="6" ht="18.45" customHeight="1">
      <c r="A6" s="42" t="n"/>
      <c r="B6" s="18" t="inlineStr">
        <is>
          <t>65mm Rubber Wheel for BO Motor</t>
        </is>
      </c>
      <c r="C6" s="42" t="n"/>
      <c r="D6" s="42" t="n"/>
      <c r="E6" s="42" t="n"/>
      <c r="F6" t="inlineStr">
        <is>
          <t>QuartzComponents</t>
        </is>
      </c>
      <c r="G6" t="n">
        <v>38</v>
      </c>
      <c r="H6" t="inlineStr">
        <is>
          <t>Verified</t>
        </is>
      </c>
      <c r="I6" s="40" t="inlineStr">
        <is>
          <t>https://quartzcomponents.com/collections/all/robotics</t>
        </is>
      </c>
    </row>
    <row r="7" ht="18.45" customHeight="1">
      <c r="A7" s="32" t="n">
        <v>4</v>
      </c>
      <c r="B7" s="18" t="inlineStr">
        <is>
          <t>25mm Swivel Caster Wheel</t>
        </is>
      </c>
      <c r="C7" s="32" t="n">
        <v>4</v>
      </c>
      <c r="D7" s="33" t="n">
        <v>29</v>
      </c>
      <c r="E7" s="33">
        <f>C7*D7</f>
        <v/>
      </c>
      <c r="F7" t="inlineStr">
        <is>
          <t>QuartzComponents</t>
        </is>
      </c>
      <c r="H7" t="inlineStr">
        <is>
          <t>Exact product not verified</t>
        </is>
      </c>
      <c r="I7" s="40" t="inlineStr">
        <is>
          <t>https://quartzcomponents.com/collections/robotics</t>
        </is>
      </c>
    </row>
    <row r="8" ht="18.45" customHeight="1">
      <c r="A8" s="32" t="n">
        <v>5</v>
      </c>
      <c r="B8" s="18" t="inlineStr">
        <is>
          <t>18650 Li-Ion Battery (2000–2500mAh)</t>
        </is>
      </c>
      <c r="C8" s="32" t="n">
        <v>30</v>
      </c>
      <c r="D8" s="33" t="n">
        <v>65</v>
      </c>
      <c r="E8" s="33">
        <f>C8*D8</f>
        <v/>
      </c>
      <c r="F8" t="inlineStr">
        <is>
          <t>QuartzComponents</t>
        </is>
      </c>
      <c r="G8" t="n">
        <v>67</v>
      </c>
      <c r="H8" t="inlineStr">
        <is>
          <t>Verified; 2500mAh copy cell</t>
        </is>
      </c>
      <c r="I8" s="40" t="inlineStr">
        <is>
          <t>https://quartzcomponents.com/products/18650-li-ion-2500mah-rechargeable-battery</t>
        </is>
      </c>
    </row>
    <row r="9" ht="18.45" customHeight="1">
      <c r="A9" s="32" t="n">
        <v>6</v>
      </c>
      <c r="B9" s="18" t="inlineStr">
        <is>
          <t>BATTERY CASE FOR 2 BATTERY</t>
        </is>
      </c>
      <c r="C9" s="32" t="n">
        <v>6</v>
      </c>
      <c r="D9" s="33" t="n">
        <v>35</v>
      </c>
      <c r="E9" s="33">
        <f>C9*D9</f>
        <v/>
      </c>
      <c r="F9" t="inlineStr">
        <is>
          <t>QuartzComponents</t>
        </is>
      </c>
      <c r="G9" t="n">
        <v>46</v>
      </c>
      <c r="H9" t="inlineStr">
        <is>
          <t>Verified; 2×18650 holder with cover/switch</t>
        </is>
      </c>
      <c r="I9" s="40" t="inlineStr">
        <is>
          <t>https://quartzcomponents.com/collections/battery-holders</t>
        </is>
      </c>
    </row>
    <row r="10" ht="18.45" customHeight="1">
      <c r="A10" s="32" t="n">
        <v>7</v>
      </c>
      <c r="B10" s="18" t="inlineStr">
        <is>
          <t>BATTERY CASE FOR 3 BATTERY</t>
        </is>
      </c>
      <c r="C10" s="32" t="n">
        <v>4</v>
      </c>
      <c r="D10" s="33" t="n">
        <v>29</v>
      </c>
      <c r="E10" s="33">
        <f>C10*D10</f>
        <v/>
      </c>
      <c r="F10" t="inlineStr">
        <is>
          <t>QuartzComponents</t>
        </is>
      </c>
      <c r="H10" t="inlineStr">
        <is>
          <t>Exact product not verified</t>
        </is>
      </c>
      <c r="I10" s="40" t="inlineStr">
        <is>
          <t>https://quartzcomponents.com/collections/battery-holders</t>
        </is>
      </c>
    </row>
    <row r="11" ht="18.45" customHeight="1">
      <c r="A11" s="32" t="n">
        <v>8</v>
      </c>
      <c r="B11" s="18" t="inlineStr">
        <is>
          <t>TP4056 Battery Charging Module</t>
        </is>
      </c>
      <c r="C11" s="32" t="n">
        <v>5</v>
      </c>
      <c r="D11" s="33" t="n">
        <v>16</v>
      </c>
      <c r="E11" s="33">
        <f>C11*D11</f>
        <v/>
      </c>
      <c r="F11" t="inlineStr">
        <is>
          <t>QuartzComponents</t>
        </is>
      </c>
      <c r="H11" t="inlineStr">
        <is>
          <t>Exact current price not verified</t>
        </is>
      </c>
      <c r="I11" s="40" t="inlineStr">
        <is>
          <t>https://quartzcomponents.com/collections/bms-1</t>
        </is>
      </c>
    </row>
    <row r="12" ht="18.45" customHeight="1">
      <c r="A12" s="32" t="n">
        <v>9</v>
      </c>
      <c r="B12" s="18" t="inlineStr">
        <is>
          <t>XT60 BATTERY CONNECTOR</t>
        </is>
      </c>
      <c r="C12" s="32" t="n">
        <v>12</v>
      </c>
      <c r="D12" s="33" t="n">
        <v>35</v>
      </c>
      <c r="E12" s="33">
        <f>C12*D12</f>
        <v/>
      </c>
      <c r="F12" t="inlineStr">
        <is>
          <t>QuartzComponents</t>
        </is>
      </c>
      <c r="G12" t="n">
        <v>32</v>
      </c>
      <c r="H12" t="inlineStr">
        <is>
          <t>Verified; male/female pair</t>
        </is>
      </c>
      <c r="I12" s="40" t="inlineStr">
        <is>
          <t>https://quartzcomponents.com/products/xt60</t>
        </is>
      </c>
    </row>
    <row r="13" ht="18.45" customHeight="1">
      <c r="A13" s="32" t="n">
        <v>10</v>
      </c>
      <c r="B13" s="18" t="inlineStr">
        <is>
          <t>2 PIN SPST SWITCH</t>
        </is>
      </c>
      <c r="C13" s="32" t="n">
        <v>10</v>
      </c>
      <c r="D13" s="33" t="n">
        <v>7</v>
      </c>
      <c r="E13" s="33">
        <f>C13*D13</f>
        <v/>
      </c>
      <c r="F13" t="inlineStr">
        <is>
          <t>QuartzComponents</t>
        </is>
      </c>
      <c r="G13" t="n">
        <v>7</v>
      </c>
      <c r="H13" t="inlineStr">
        <is>
          <t>Verified</t>
        </is>
      </c>
      <c r="I13" s="40" t="inlineStr">
        <is>
          <t>https://quartzcomponents.com/collections/switches-connectors</t>
        </is>
      </c>
    </row>
    <row r="14" ht="18.45" customHeight="1">
      <c r="A14" s="32" t="n">
        <v>11</v>
      </c>
      <c r="B14" s="18" t="inlineStr">
        <is>
          <t>Jumper Wire Set M2F</t>
        </is>
      </c>
      <c r="C14" s="32" t="n">
        <v>6</v>
      </c>
      <c r="D14" s="33" t="n">
        <v>51</v>
      </c>
      <c r="E14" s="33">
        <f>C14*D14</f>
        <v/>
      </c>
      <c r="F14" t="inlineStr">
        <is>
          <t>QuartzComponents</t>
        </is>
      </c>
      <c r="H14" t="inlineStr">
        <is>
          <t>Exact standalone price not verified</t>
        </is>
      </c>
      <c r="I14" s="40" t="inlineStr">
        <is>
          <t>https://quartzcomponents.com/products/mb102-colored-breadboard-830-points-with-jumper-wires-male-to-male-and-male-to-female-set-of-80</t>
        </is>
      </c>
    </row>
    <row r="15" ht="18.45" customHeight="1">
      <c r="A15" s="32" t="n">
        <v>12</v>
      </c>
      <c r="B15" s="18" t="inlineStr">
        <is>
          <t>Jumper Wire Set M2M</t>
        </is>
      </c>
      <c r="C15" s="32" t="n">
        <v>2</v>
      </c>
      <c r="D15" s="33" t="n">
        <v>45</v>
      </c>
      <c r="E15" s="33">
        <f>C15*D15</f>
        <v/>
      </c>
      <c r="F15" t="inlineStr">
        <is>
          <t>QuartzComponents</t>
        </is>
      </c>
      <c r="H15" t="inlineStr">
        <is>
          <t>Exact standalone price not verified</t>
        </is>
      </c>
      <c r="I15" s="40" t="inlineStr">
        <is>
          <t>https://quartzcomponents.com/products/mb102-colored-breadboard-830-points-with-jumper-wires-male-to-male-and-male-to-female-set-of-80</t>
        </is>
      </c>
    </row>
    <row r="16" ht="18.45" customHeight="1">
      <c r="A16" s="32" t="n">
        <v>13</v>
      </c>
      <c r="B16" s="18" t="inlineStr">
        <is>
          <t>Jumper Wire Set F2F</t>
        </is>
      </c>
      <c r="C16" s="32" t="n">
        <v>2</v>
      </c>
      <c r="D16" s="33" t="n">
        <v>50</v>
      </c>
      <c r="E16" s="33">
        <f>C16*D16</f>
        <v/>
      </c>
      <c r="F16" t="inlineStr">
        <is>
          <t>QuartzComponents</t>
        </is>
      </c>
      <c r="H16" t="inlineStr">
        <is>
          <t>Exact standalone price not verified</t>
        </is>
      </c>
      <c r="I16" s="40" t="inlineStr">
        <is>
          <t>https://quartzcomponents.com/products/mb102-colored-breadboard-830-points-with-jumper-wires-male-to-male-and-male-to-female-set-of-80</t>
        </is>
      </c>
    </row>
    <row r="17" ht="18.45" customHeight="1">
      <c r="A17" s="32" t="n">
        <v>14</v>
      </c>
      <c r="B17" s="18" t="inlineStr">
        <is>
          <t>HEADER PIN M</t>
        </is>
      </c>
      <c r="C17" s="32" t="n">
        <v>20</v>
      </c>
      <c r="D17" s="33" t="n">
        <v>7</v>
      </c>
      <c r="E17" s="33">
        <f>C17*D17</f>
        <v/>
      </c>
      <c r="F17" t="inlineStr">
        <is>
          <t>QuartzComponents</t>
        </is>
      </c>
      <c r="H17" t="inlineStr">
        <is>
          <t>Exact current price not verified</t>
        </is>
      </c>
      <c r="I17" s="40" t="inlineStr">
        <is>
          <t>https://quartzcomponents.com/collections/switches-connectors</t>
        </is>
      </c>
    </row>
    <row r="18" ht="18.45" customHeight="1">
      <c r="A18" s="32" t="n">
        <v>15</v>
      </c>
      <c r="B18" s="18" t="inlineStr">
        <is>
          <t>HEADER PIN F</t>
        </is>
      </c>
      <c r="C18" s="32" t="n">
        <v>20</v>
      </c>
      <c r="D18" s="33" t="n">
        <v>10</v>
      </c>
      <c r="E18" s="33">
        <f>C18*D18</f>
        <v/>
      </c>
      <c r="F18" t="inlineStr">
        <is>
          <t>QuartzComponents</t>
        </is>
      </c>
      <c r="H18" t="inlineStr">
        <is>
          <t>Exact current price not verified</t>
        </is>
      </c>
      <c r="I18" s="40" t="inlineStr">
        <is>
          <t>https://quartzcomponents.com/collections/switches-connectors</t>
        </is>
      </c>
    </row>
    <row r="19" ht="18.45" customHeight="1">
      <c r="A19" s="32" t="n">
        <v>16</v>
      </c>
      <c r="B19" s="18" t="inlineStr">
        <is>
          <t>FULL SIZE Breadboard</t>
        </is>
      </c>
      <c r="C19" s="32" t="n">
        <v>4</v>
      </c>
      <c r="D19" s="33" t="n">
        <v>62</v>
      </c>
      <c r="E19" s="33">
        <f>C19*D19</f>
        <v/>
      </c>
      <c r="F19" t="inlineStr">
        <is>
          <t>QuartzComponents</t>
        </is>
      </c>
      <c r="H19" t="inlineStr">
        <is>
          <t>Exact current price not verified</t>
        </is>
      </c>
      <c r="I19" s="40" t="inlineStr">
        <is>
          <t>https://quartzcomponents.com/collections/breadboard</t>
        </is>
      </c>
    </row>
    <row r="20" ht="18.45" customHeight="1">
      <c r="A20" s="32" t="n">
        <v>17</v>
      </c>
      <c r="B20" s="18" t="inlineStr">
        <is>
          <t>MINI BREADBOARD</t>
        </is>
      </c>
      <c r="C20" s="32" t="n">
        <v>10</v>
      </c>
      <c r="D20" s="33" t="n">
        <v>16</v>
      </c>
      <c r="E20" s="33">
        <f>C20*D20</f>
        <v/>
      </c>
      <c r="F20" t="inlineStr">
        <is>
          <t>QuartzComponents</t>
        </is>
      </c>
      <c r="G20" t="n">
        <v>33</v>
      </c>
      <c r="H20" t="inlineStr">
        <is>
          <t>Verified category listing</t>
        </is>
      </c>
      <c r="I20" s="40" t="inlineStr">
        <is>
          <t>https://quartzcomponents.com/collections/breadboard</t>
        </is>
      </c>
    </row>
    <row r="21" ht="18.45" customHeight="1">
      <c r="A21" s="32" t="n">
        <v>18</v>
      </c>
      <c r="B21" s="18" t="inlineStr">
        <is>
          <t>5-Channel IR Line Sensor Array (TCRT5000)</t>
        </is>
      </c>
      <c r="C21" s="32" t="n">
        <v>4</v>
      </c>
      <c r="D21" s="33" t="n">
        <v>175</v>
      </c>
      <c r="E21" s="33">
        <f>C21*D21</f>
        <v/>
      </c>
      <c r="F21" t="inlineStr">
        <is>
          <t>QuartzComponents</t>
        </is>
      </c>
      <c r="G21" t="n">
        <v>160</v>
      </c>
      <c r="H21" t="inlineStr">
        <is>
          <t>Verified; current listing</t>
        </is>
      </c>
      <c r="I21" s="40" t="inlineStr">
        <is>
          <t>https://quartzcomponents.com/collections/ir-sensor</t>
        </is>
      </c>
    </row>
    <row r="22" ht="18.45" customHeight="1">
      <c r="A22" s="32" t="n">
        <v>19</v>
      </c>
      <c r="B22" s="18" t="inlineStr">
        <is>
          <t>HC-SR04 Ultrasonic Sensor</t>
        </is>
      </c>
      <c r="C22" s="32" t="n">
        <v>8</v>
      </c>
      <c r="D22" s="33" t="n">
        <v>72</v>
      </c>
      <c r="E22" s="33">
        <f>C22*D22</f>
        <v/>
      </c>
      <c r="F22" t="inlineStr">
        <is>
          <t>QuartzComponents</t>
        </is>
      </c>
      <c r="G22" t="n">
        <v>72</v>
      </c>
      <c r="H22" t="inlineStr">
        <is>
          <t>Verified</t>
        </is>
      </c>
      <c r="I22" s="40" t="inlineStr">
        <is>
          <t>https://quartzcomponents.com/products/hc-sr04-ultrasonic-sensor-module</t>
        </is>
      </c>
    </row>
    <row r="23" ht="18.45" customHeight="1">
      <c r="A23" s="32" t="n">
        <v>20</v>
      </c>
      <c r="B23" s="18" t="inlineStr">
        <is>
          <t>IR Obstacle Avoidance Sensor</t>
        </is>
      </c>
      <c r="C23" s="32" t="n">
        <v>8</v>
      </c>
      <c r="D23" s="33" t="n">
        <v>27</v>
      </c>
      <c r="E23" s="33">
        <f>C23*D23</f>
        <v/>
      </c>
      <c r="F23" t="inlineStr">
        <is>
          <t>QuartzComponents</t>
        </is>
      </c>
      <c r="G23" t="n">
        <v>27</v>
      </c>
      <c r="H23" t="inlineStr">
        <is>
          <t>Verified</t>
        </is>
      </c>
      <c r="I23" s="40" t="inlineStr">
        <is>
          <t>https://quartzcomponents.com/products/ir-lm393-photoelectric-sensor-module</t>
        </is>
      </c>
    </row>
    <row r="24" ht="18.45" customHeight="1">
      <c r="A24" s="20" t="n">
        <v>21</v>
      </c>
      <c r="B24" s="21" t="inlineStr">
        <is>
          <t>LDR (Light Dependent Resistor)</t>
        </is>
      </c>
      <c r="C24" s="20" t="n">
        <v>8</v>
      </c>
      <c r="D24" s="22" t="n">
        <v>26</v>
      </c>
      <c r="E24" s="22">
        <f>C24*D24</f>
        <v/>
      </c>
      <c r="F24" t="inlineStr">
        <is>
          <t>QuartzComponents</t>
        </is>
      </c>
      <c r="G24" t="n">
        <v>5</v>
      </c>
      <c r="H24" t="inlineStr">
        <is>
          <t>Verified</t>
        </is>
      </c>
      <c r="I24" s="40" t="inlineStr">
        <is>
          <t>https://quartzcomponents.com/products/ldr-light-dependent-resistor-5mm</t>
        </is>
      </c>
    </row>
    <row r="25" ht="18.45" customHeight="1">
      <c r="A25" s="32" t="n">
        <v>22</v>
      </c>
      <c r="B25" s="18" t="inlineStr">
        <is>
          <t>Standard 5mm LED R</t>
        </is>
      </c>
      <c r="C25" s="32" t="n">
        <v>10</v>
      </c>
      <c r="D25" s="33" t="n">
        <v>2</v>
      </c>
      <c r="E25" s="33">
        <f>C25*D25</f>
        <v/>
      </c>
      <c r="F25" t="inlineStr">
        <is>
          <t>QuartzComponents</t>
        </is>
      </c>
      <c r="G25" t="n">
        <v>2</v>
      </c>
      <c r="H25" t="inlineStr">
        <is>
          <t>Verified 5mm LED listing</t>
        </is>
      </c>
      <c r="I25" s="40" t="inlineStr">
        <is>
          <t>https://quartzcomponents.com/collections/components</t>
        </is>
      </c>
    </row>
    <row r="26" ht="18.45" customHeight="1">
      <c r="A26" s="32" t="n">
        <v>23</v>
      </c>
      <c r="B26" s="18" t="inlineStr">
        <is>
          <t>Standard 5mm LED G</t>
        </is>
      </c>
      <c r="C26" s="32" t="n">
        <v>10</v>
      </c>
      <c r="D26" s="33" t="n">
        <v>2</v>
      </c>
      <c r="E26" s="33">
        <f>C26*D26</f>
        <v/>
      </c>
      <c r="F26" t="inlineStr">
        <is>
          <t>QuartzComponents</t>
        </is>
      </c>
      <c r="G26" t="n">
        <v>2</v>
      </c>
      <c r="H26" t="inlineStr">
        <is>
          <t>Verified</t>
        </is>
      </c>
      <c r="I26" s="40" t="inlineStr">
        <is>
          <t>https://quartzcomponents.com/products/green-5mm-led</t>
        </is>
      </c>
    </row>
    <row r="27" ht="18.45" customHeight="1">
      <c r="A27" s="32" t="n">
        <v>24</v>
      </c>
      <c r="B27" s="18" t="inlineStr">
        <is>
          <t>Standard 5mm LED B</t>
        </is>
      </c>
      <c r="C27" s="32" t="n">
        <v>10</v>
      </c>
      <c r="D27" s="33" t="n">
        <v>2</v>
      </c>
      <c r="E27" s="33">
        <f>C27*D27</f>
        <v/>
      </c>
      <c r="F27" t="inlineStr">
        <is>
          <t>QuartzComponents</t>
        </is>
      </c>
      <c r="G27" t="n">
        <v>2</v>
      </c>
      <c r="H27" t="inlineStr">
        <is>
          <t>Verified 5mm LED listing</t>
        </is>
      </c>
      <c r="I27" s="40" t="inlineStr">
        <is>
          <t>https://quartzcomponents.com/collections/components</t>
        </is>
      </c>
    </row>
    <row r="28" ht="18.45" customHeight="1">
      <c r="A28" s="32" t="n">
        <v>25</v>
      </c>
      <c r="B28" s="18" t="inlineStr">
        <is>
          <t>RESISTOR 220 OHM</t>
        </is>
      </c>
      <c r="C28" s="32" t="n">
        <v>50</v>
      </c>
      <c r="D28" s="33" t="n">
        <v>0.8</v>
      </c>
      <c r="E28" s="33">
        <f>C28*D28</f>
        <v/>
      </c>
      <c r="F28" t="inlineStr">
        <is>
          <t>QuartzComponents</t>
        </is>
      </c>
      <c r="G28" t="n">
        <v>8</v>
      </c>
      <c r="H28" t="inlineStr">
        <is>
          <t>Verified; pack of 10</t>
        </is>
      </c>
      <c r="I28" s="40" t="inlineStr">
        <is>
          <t>https://quartzcomponents.com/products/220-ohm-1-4-watt-resistor-with-1-tolerance-pack-of-10</t>
        </is>
      </c>
    </row>
    <row r="29" ht="18.45" customHeight="1">
      <c r="A29" s="32" t="n">
        <v>26</v>
      </c>
      <c r="B29" s="18" t="inlineStr">
        <is>
          <t>RESISTOR 1K OHM</t>
        </is>
      </c>
      <c r="C29" s="32" t="n">
        <v>30</v>
      </c>
      <c r="D29" s="33" t="n">
        <v>1</v>
      </c>
      <c r="E29" s="33">
        <f>C29*D29</f>
        <v/>
      </c>
      <c r="F29" t="inlineStr">
        <is>
          <t>QuartzComponents</t>
        </is>
      </c>
      <c r="G29" t="n">
        <v>7</v>
      </c>
      <c r="H29" t="inlineStr">
        <is>
          <t>Verified; pack of 10</t>
        </is>
      </c>
      <c r="I29" s="40" t="inlineStr">
        <is>
          <t>https://quartzcomponents.com/products/1k-ohm-1-4-watt-resistor</t>
        </is>
      </c>
    </row>
    <row r="30" ht="18.45" customHeight="1">
      <c r="A30" s="32" t="n">
        <v>27</v>
      </c>
      <c r="B30" s="18" t="inlineStr">
        <is>
          <t>RESISTOR 2K OHM</t>
        </is>
      </c>
      <c r="C30" s="32" t="n">
        <v>30</v>
      </c>
      <c r="D30" s="33" t="n">
        <v>0.5</v>
      </c>
      <c r="E30" s="33">
        <f>C30*D30</f>
        <v/>
      </c>
      <c r="F30" t="inlineStr">
        <is>
          <t>QuartzComponents</t>
        </is>
      </c>
      <c r="H30" t="inlineStr">
        <is>
          <t>Exact current price not verified</t>
        </is>
      </c>
      <c r="I30" s="40" t="inlineStr">
        <is>
          <t>https://quartzcomponents.com/collections/passives-resistors</t>
        </is>
      </c>
    </row>
    <row r="31" ht="18.45" customHeight="1">
      <c r="A31" s="32" t="n">
        <v>28</v>
      </c>
      <c r="B31" s="18" t="inlineStr">
        <is>
          <t>RESISTOR 10K OHM</t>
        </is>
      </c>
      <c r="C31" s="32" t="n">
        <v>20</v>
      </c>
      <c r="D31" s="33" t="n">
        <v>0.7</v>
      </c>
      <c r="E31" s="33">
        <f>C31*D31</f>
        <v/>
      </c>
      <c r="F31" t="inlineStr">
        <is>
          <t>QuartzComponents</t>
        </is>
      </c>
      <c r="G31" t="n">
        <v>7</v>
      </c>
      <c r="H31" t="inlineStr">
        <is>
          <t>Verified; pack of 10</t>
        </is>
      </c>
      <c r="I31" s="40" t="inlineStr">
        <is>
          <t>https://quartzcomponents.com/products/10k-ohm-1-4-watt-resistor</t>
        </is>
      </c>
    </row>
    <row r="32" ht="18.45" customHeight="1">
      <c r="A32" s="32" t="n">
        <v>29</v>
      </c>
      <c r="B32" s="18" t="inlineStr">
        <is>
          <t>5V Active Buzzer</t>
        </is>
      </c>
      <c r="C32" s="32" t="n">
        <v>10</v>
      </c>
      <c r="D32" s="33" t="n">
        <v>9</v>
      </c>
      <c r="E32" s="33">
        <f>C32*D32</f>
        <v/>
      </c>
      <c r="F32" t="inlineStr">
        <is>
          <t>QuartzComponents</t>
        </is>
      </c>
      <c r="G32" t="n">
        <v>27</v>
      </c>
      <c r="H32" t="inlineStr">
        <is>
          <t>Verified; active buzzer module</t>
        </is>
      </c>
      <c r="I32" s="40" t="inlineStr">
        <is>
          <t>https://quartzcomponents.com/collections/popular-products/products/active-buzzer-module</t>
        </is>
      </c>
    </row>
    <row r="33" ht="18.45" customHeight="1">
      <c r="A33" s="32" t="n">
        <v>30</v>
      </c>
      <c r="B33" s="18" t="inlineStr">
        <is>
          <t>PCA9685 16-channel servo driver</t>
        </is>
      </c>
      <c r="C33" s="32" t="n">
        <v>4</v>
      </c>
      <c r="D33" s="33" t="n">
        <v>228</v>
      </c>
      <c r="E33" s="33">
        <f>C33*D33</f>
        <v/>
      </c>
      <c r="F33" t="inlineStr">
        <is>
          <t>QuartzComponents</t>
        </is>
      </c>
      <c r="G33" t="n">
        <v>212</v>
      </c>
      <c r="H33" t="inlineStr">
        <is>
          <t>Verified current listing; sheet says ₹228</t>
        </is>
      </c>
      <c r="I33" s="40" t="inlineStr">
        <is>
          <t>https://quartzcomponents.com/products/16-channel-12-bit-pwm-servo-driver-i2c-interface-pca9685-for-arduino-raspberry-pi</t>
        </is>
      </c>
    </row>
    <row r="34" ht="18.45" customHeight="1">
      <c r="A34" s="32" t="n">
        <v>31</v>
      </c>
      <c r="B34" s="23" t="inlineStr">
        <is>
          <t>MG90S servo motors</t>
        </is>
      </c>
      <c r="C34" s="32" t="n">
        <v>32</v>
      </c>
      <c r="D34" s="33" t="n">
        <v>124</v>
      </c>
      <c r="E34" s="33">
        <f>C34*D34</f>
        <v/>
      </c>
      <c r="F34" t="inlineStr">
        <is>
          <t>QuartzComponents</t>
        </is>
      </c>
      <c r="G34" t="n">
        <v>124</v>
      </c>
      <c r="H34" t="inlineStr">
        <is>
          <t>Verified</t>
        </is>
      </c>
      <c r="I34" s="40" t="inlineStr">
        <is>
          <t>https://quartzcomponents.com/collections/servo-motor</t>
        </is>
      </c>
    </row>
    <row r="35" ht="18.45" customHeight="1">
      <c r="A35" s="32" t="n">
        <v>32</v>
      </c>
      <c r="B35" s="23" t="inlineStr">
        <is>
          <t>0.96inches OLED display</t>
        </is>
      </c>
      <c r="C35" s="32" t="n">
        <v>4</v>
      </c>
      <c r="D35" s="33" t="n">
        <v>144</v>
      </c>
      <c r="E35" s="33">
        <f>C35*D35</f>
        <v/>
      </c>
      <c r="F35" t="inlineStr">
        <is>
          <t>QuartzComponents</t>
        </is>
      </c>
      <c r="G35" t="n">
        <v>138</v>
      </c>
      <c r="H35" t="inlineStr">
        <is>
          <t>Verified current listing; sheet says ₹144</t>
        </is>
      </c>
      <c r="I35" s="40" t="inlineStr">
        <is>
          <t>https://quartzcomponents.com/products/oled-display-0-96-inch-i2c-interface-4-pin-blue-ssd1306</t>
        </is>
      </c>
    </row>
    <row r="36" ht="18.45" customHeight="1">
      <c r="A36" s="32" t="n">
        <v>33</v>
      </c>
      <c r="B36" s="23" t="inlineStr">
        <is>
          <t>VL53L0X ToF sensor</t>
        </is>
      </c>
      <c r="C36" s="32" t="n">
        <v>4</v>
      </c>
      <c r="D36" s="33" t="n">
        <v>181</v>
      </c>
      <c r="E36" s="33">
        <f>C36*D36</f>
        <v/>
      </c>
      <c r="F36" t="inlineStr">
        <is>
          <t>QuartzComponents</t>
        </is>
      </c>
      <c r="H36" t="inlineStr">
        <is>
          <t>Verified current product exists; current price not captured</t>
        </is>
      </c>
      <c r="I36" s="40" t="inlineStr">
        <is>
          <t>https://quartzcomponents.com/products/gy-53-vl53l0x-laser-tof-flight-time-range-sensor</t>
        </is>
      </c>
    </row>
    <row r="37" ht="18.45" customHeight="1">
      <c r="A37" s="24" t="n">
        <v>34</v>
      </c>
      <c r="B37" s="25" t="inlineStr">
        <is>
          <t>5V BEC buck converter</t>
        </is>
      </c>
      <c r="C37" s="24" t="n">
        <v>4</v>
      </c>
      <c r="D37" s="26" t="n">
        <v>45</v>
      </c>
      <c r="E37" s="26">
        <f>C37*D37</f>
        <v/>
      </c>
      <c r="F37" t="inlineStr">
        <is>
          <t>QuartzComponents</t>
        </is>
      </c>
      <c r="G37" t="n">
        <v>79</v>
      </c>
      <c r="H37" t="inlineStr">
        <is>
          <t>Verified 5V/3A BEC</t>
        </is>
      </c>
      <c r="I37" s="40" t="inlineStr">
        <is>
          <t>https://quartzcomponents.com/products/ultra-small-size-dc-dc-5v-3a-bec-power-supply-buck-step-down-module</t>
        </is>
      </c>
    </row>
    <row r="38" ht="18.45" customHeight="1">
      <c r="A38" s="32" t="n">
        <v>35</v>
      </c>
      <c r="B38" s="23" t="inlineStr">
        <is>
          <t>MPU6050</t>
        </is>
      </c>
      <c r="C38" s="32" t="n">
        <v>4</v>
      </c>
      <c r="D38" s="33" t="n">
        <v>154</v>
      </c>
      <c r="E38" s="33">
        <f>C38*D38</f>
        <v/>
      </c>
      <c r="F38" t="inlineStr">
        <is>
          <t>QuartzComponents</t>
        </is>
      </c>
      <c r="G38" t="n">
        <v>154</v>
      </c>
      <c r="H38" t="inlineStr">
        <is>
          <t>Verified module listing</t>
        </is>
      </c>
      <c r="I38" s="40" t="inlineStr">
        <is>
          <t>https://quartzcomponents.com/collections/discount-sale</t>
        </is>
      </c>
    </row>
    <row r="39" ht="18.45" customHeight="1">
      <c r="A39" s="32" t="n">
        <v>36</v>
      </c>
      <c r="B39" s="23" t="inlineStr">
        <is>
          <t>ZERO PCB</t>
        </is>
      </c>
      <c r="C39" s="32" t="n">
        <v>10</v>
      </c>
      <c r="D39" s="33" t="n">
        <v>29</v>
      </c>
      <c r="E39" s="33">
        <f>C39*D39</f>
        <v/>
      </c>
      <c r="F39" t="inlineStr">
        <is>
          <t>QuartzComponents</t>
        </is>
      </c>
      <c r="G39" t="n">
        <v>13</v>
      </c>
      <c r="H39" t="inlineStr">
        <is>
          <t>Verified; 5×7cm single-sided zero PCB</t>
        </is>
      </c>
      <c r="I39" s="40" t="inlineStr">
        <is>
          <t>https://quartzcomponents.com/products/5x7cm-single-side-copper-plate-perf-board-for-pcb-prototype</t>
        </is>
      </c>
    </row>
    <row r="40" ht="18.45" customHeight="1">
      <c r="A40" s="32" t="n">
        <v>37</v>
      </c>
      <c r="B40" s="23" t="inlineStr">
        <is>
          <t>HEAT SHRINK 3MM</t>
        </is>
      </c>
      <c r="C40" s="32" t="n">
        <v>5</v>
      </c>
      <c r="D40" s="33" t="n">
        <v>13</v>
      </c>
      <c r="E40" s="33">
        <f>C40*D40</f>
        <v/>
      </c>
      <c r="F40" t="inlineStr">
        <is>
          <t>QuartzComponents</t>
        </is>
      </c>
      <c r="G40" t="n">
        <v>12</v>
      </c>
      <c r="H40" t="inlineStr">
        <is>
          <t>Verified; 1m black tube, current listing sold out</t>
        </is>
      </c>
      <c r="I40" s="40" t="inlineStr">
        <is>
          <t>https://quartzcomponents.com/products/heat-shrink-tube-3mm-diameter-black-1-meter</t>
        </is>
      </c>
    </row>
    <row r="41" ht="18.45" customHeight="1">
      <c r="A41" s="32" t="n">
        <v>38</v>
      </c>
      <c r="B41" s="23" t="inlineStr">
        <is>
          <t>HEAT SHRINK 5MM</t>
        </is>
      </c>
      <c r="C41" s="32" t="n">
        <v>5</v>
      </c>
      <c r="D41" s="33" t="n">
        <v>19</v>
      </c>
      <c r="E41" s="33">
        <f>C41*D41</f>
        <v/>
      </c>
      <c r="F41" t="inlineStr">
        <is>
          <t>QuartzComponents</t>
        </is>
      </c>
      <c r="H41" t="inlineStr">
        <is>
          <t>Exact current price not verified</t>
        </is>
      </c>
      <c r="I41" s="40" t="inlineStr">
        <is>
          <t>https://quartzcomponents.com/collections/latest-products</t>
        </is>
      </c>
    </row>
    <row r="42" ht="18.45" customHeight="1">
      <c r="A42" s="32" t="n">
        <v>39</v>
      </c>
      <c r="B42" s="23" t="inlineStr">
        <is>
          <t xml:space="preserve">SG90 </t>
        </is>
      </c>
      <c r="C42" s="32" t="n">
        <v>4</v>
      </c>
      <c r="D42" s="33" t="n">
        <v>86</v>
      </c>
      <c r="E42" s="33">
        <f>C42*D42</f>
        <v/>
      </c>
      <c r="F42" t="inlineStr">
        <is>
          <t>—</t>
        </is>
      </c>
      <c r="H42" t="inlineStr">
        <is>
          <t>Not researched</t>
        </is>
      </c>
    </row>
    <row r="43" ht="18.45" customHeight="1">
      <c r="A43" s="32" t="n">
        <v>40</v>
      </c>
      <c r="B43" s="23" t="inlineStr">
        <is>
          <t>BATTERY CHARGER</t>
        </is>
      </c>
      <c r="C43" s="32" t="n">
        <v>2</v>
      </c>
      <c r="D43" s="33" t="n">
        <v>389</v>
      </c>
      <c r="E43" s="33">
        <f>C43*D43</f>
        <v/>
      </c>
      <c r="F43" t="inlineStr">
        <is>
          <t>QuartzComponents</t>
        </is>
      </c>
      <c r="H43" t="inlineStr">
        <is>
          <t>Exact charger model not specified in sheet</t>
        </is>
      </c>
      <c r="I43" s="40" t="inlineStr">
        <is>
          <t>https://quartzcomponents.com/collections/batteries-power-supplies-and-accessories-1</t>
        </is>
      </c>
    </row>
    <row r="44" ht="18.45" customHeight="1">
      <c r="A44" s="27" t="n"/>
      <c r="B44" s="28" t="n"/>
      <c r="C44" s="27" t="n"/>
      <c r="D44" s="29" t="n"/>
      <c r="E44" s="29" t="n"/>
    </row>
    <row r="45" ht="18.45" customHeight="1">
      <c r="A45" s="31" t="inlineStr">
        <is>
          <t>SUBTOTAL</t>
        </is>
      </c>
      <c r="B45" s="38" t="n"/>
      <c r="C45" s="38" t="n"/>
      <c r="D45" s="15" t="n"/>
      <c r="E45" s="16">
        <f>SUM(E3:E42)</f>
        <v/>
      </c>
    </row>
  </sheetData>
  <mergeCells count="6">
    <mergeCell ref="A5:A6"/>
    <mergeCell ref="E5:E6"/>
    <mergeCell ref="A45:C45"/>
    <mergeCell ref="A1:E1"/>
    <mergeCell ref="D5:D6"/>
    <mergeCell ref="C5:C6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3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Dhruv Agarwal</dc:creator>
  <dcterms:created xmlns:dcterms="http://purl.org/dc/terms/" xmlns:xsi="http://www.w3.org/2001/XMLSchema-instance" xsi:type="dcterms:W3CDTF">2026-08-20T04:31:49Z</dcterms:created>
  <dcterms:modified xmlns:dcterms="http://purl.org/dc/terms/" xmlns:xsi="http://www.w3.org/2001/XMLSchema-instance" xsi:type="dcterms:W3CDTF">2026-09-13T04:30:17Z</dcterms:modified>
  <cp:lastModifiedBy>Amit kumar sahoo</cp:lastModifiedBy>
</cp:coreProperties>
</file>